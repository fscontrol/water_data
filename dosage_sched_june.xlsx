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sheets/sheet5.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4" showHorizontalScroll="1" showVerticalScroll="1"/>
  </bookViews>
  <sheets>
    <sheet name="S2CT2" sheetId="1" state="visible" r:id="rId2"/>
    <sheet name="Лист1" sheetId="2" state="hidden" r:id="rId3"/>
    <sheet name="350" sheetId="3" state="hidden" r:id="rId4"/>
    <sheet name="800" sheetId="4" state="hidden" r:id="rId5"/>
    <sheet name="Abbr" sheetId="5" state="visible" r:id="rId6"/>
  </sheets>
  <calcPr refMode="A1" iterate="0" iterateCount="100" iterateDelta="0.000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tc={6ACC9F82-6F91-4976-A09B-E10F7186FFF7}</author>
    <author>tc={29A6954B-7015-4C59-B29F-2FE2D023406F}</author>
    <author>tc={476BBC10-DC68-4BE0-AC05-A6E4E2BF2654}</author>
    <author>tc={3C2FE683-9E56-4A1B-B339-E9ADC04F5709}</author>
    <author>tc={C457E299-E7E3-4870-B36A-1DF835FB5E7C}</author>
    <author>tc={1B8C6631-A5F7-4D29-86DA-0CEA06F4E455}</author>
    <author>tc={0118BCB5-27D2-43D6-B920-3937A6B2A390}</author>
    <author>tc={1D8477FD-BCEE-4CF3-AD6E-99E633926EE1}</author>
  </authors>
  <commentList>
    <comment ref="F2" authorId="0" xr:uid="{6ACC9F82-6F91-4976-A09B-E10F7186FFF7}">
      <text>
        <r>
          <rPr>
            <b/>
            <sz val="9"/>
            <rFont val="Tahoma"/>
          </rPr>
          <t xml:space="preserve">Хабибуллин Альмир Альвертович:</t>
        </r>
        <r>
          <rPr>
            <sz val="9"/>
            <rFont val="Tahoma"/>
          </rPr>
          <t xml:space="preserve">
Нормы реагенты на 2026 изм.1 с февраля 
Вс 01.03.2026 13:44
</t>
        </r>
      </text>
    </comment>
    <comment ref="J11" authorId="1" xr:uid="{29A6954B-7015-4C59-B29F-2FE2D023406F}">
      <text>
        <r>
          <rPr>
            <b/>
            <sz val="9"/>
            <rFont val="Tahoma"/>
          </rPr>
          <t xml:space="preserve">Хабибуллин Альмир Альвертович:</t>
        </r>
        <r>
          <rPr>
            <sz val="9"/>
            <rFont val="Tahoma"/>
          </rPr>
          <t xml:space="preserve">
Внимание водоблоков 2, 3, 4!.
10.06.2026 вместо раствора ДБНПА дозируем Джурби 67.
Дозировки указаны ниже.
Ср 10.06.2026 7:36
Гуськов Евгений Николаевич
</t>
        </r>
      </text>
    </comment>
    <comment ref="I15" authorId="2" xr:uid="{476BBC10-DC68-4BE0-AC05-A6E4E2BF2654}">
      <text>
        <r>
          <rPr>
            <b/>
            <sz val="9"/>
            <rFont val="Tahoma"/>
          </rPr>
          <t xml:space="preserve">Хабибуллин Альмир Альвертович:</t>
        </r>
        <r>
          <rPr>
            <sz val="9"/>
            <rFont val="Tahoma"/>
          </rPr>
          <t xml:space="preserve">
Таблица Excel – график и нормы дозирования биоцидов на январь.
Пн 12.01.2026 9:43 
</t>
        </r>
      </text>
    </comment>
    <comment ref="F19" authorId="3" xr:uid="{3C2FE683-9E56-4A1B-B339-E9ADC04F5709}">
      <text>
        <r>
          <rPr>
            <b/>
            <sz val="9"/>
            <rFont val="Tahoma"/>
          </rPr>
          <t xml:space="preserve">Хуснутдинов Алмаз Азатович:</t>
        </r>
        <r>
          <rPr>
            <sz val="9"/>
            <rFont val="Tahoma"/>
          </rPr>
          <t xml:space="preserve">
Сагдеев Камиль Айратович 
Рекомендации для работы.
Пт 16.01.2026 16:15
</t>
        </r>
      </text>
    </comment>
    <comment ref="L22" authorId="4" xr:uid="{C457E299-E7E3-4870-B36A-1DF835FB5E7C}">
      <text>
        <r>
          <rPr>
            <b/>
            <sz val="9"/>
            <rFont val="Tahoma"/>
          </rPr>
          <t xml:space="preserve">Хабибуллин Альмир Альвертович:</t>
        </r>
        <r>
          <rPr>
            <sz val="9"/>
            <rFont val="Tahoma"/>
          </rPr>
          <t xml:space="preserve">
Сагдеев Камиль Айратович 
Рекомендации для работы.
Пт 16.01.2026 16:15  
ГПХ, л
Водоблок №2 
  С2   165  литр
</t>
        </r>
      </text>
    </comment>
    <comment ref="I22" authorId="5" xr:uid="{1B8C6631-A5F7-4D29-86DA-0CEA06F4E455}">
      <text>
        <r>
          <rPr>
            <b/>
            <sz val="9"/>
            <rFont val="Tahoma"/>
          </rPr>
          <t xml:space="preserve">Хуснутдинов Алмаз Азатович:</t>
        </r>
        <r>
          <rPr>
            <sz val="9"/>
            <rFont val="Tahoma"/>
          </rPr>
          <t xml:space="preserve">
Сагдеев Камиль Айратович 
Рекомендации для работы.
Пт 16.01.2026 16:15
</t>
        </r>
      </text>
    </comment>
    <comment ref="J25" authorId="6" xr:uid="{0118BCB5-27D2-43D6-B920-3937A6B2A390}">
      <text>
        <r>
          <rPr>
            <b/>
            <sz val="9"/>
            <rFont val="Tahoma"/>
          </rPr>
          <t xml:space="preserve">Хабибуллин Альмир Альвертович:</t>
        </r>
        <r>
          <rPr>
            <sz val="9"/>
            <rFont val="Tahoma"/>
          </rPr>
          <t xml:space="preserve">
Добрый день.
Рекомендация по дозированию биоцида Джурби 67 на 24.06.2026.
Биоциды  расход на дозировку, кг 
ДЖУРБИ С1 С2 С2А ИТОГО
В2 96,8 93,2 85 
В3 89,1 71,5 89,1 
В4 245 84 155 
   1008,7 кг
Камиль Сагдеев 
24-22-41
Ср 24.06.2026 8:02
</t>
        </r>
      </text>
    </comment>
    <comment ref="F26" authorId="7" xr:uid="{1D8477FD-BCEE-4CF3-AD6E-99E633926EE1}">
      <text>
        <r>
          <rPr>
            <b/>
            <sz val="9"/>
            <rFont val="Tahoma"/>
          </rPr>
          <t xml:space="preserve">Хабибуллин Альмир Альвертович:</t>
        </r>
        <r>
          <rPr>
            <sz val="9"/>
            <rFont val="Tahoma"/>
          </rPr>
          <t xml:space="preserve">
Направляю таблицы рекомендаций.
А. Локшин
Чт 22.01.2026 9:57
</t>
        </r>
      </text>
    </comment>
  </commentList>
</comments>
</file>

<file path=xl/sharedStrings.xml><?xml version="1.0" encoding="utf-8"?>
<sst xmlns="http://schemas.openxmlformats.org/spreadsheetml/2006/main" count="86" uniqueCount="86">
  <si>
    <t>rdate</t>
  </si>
  <si>
    <t>h3po4_85</t>
  </si>
  <si>
    <t>pbtc_50</t>
  </si>
  <si>
    <t>th3100</t>
  </si>
  <si>
    <t>pg</t>
  </si>
  <si>
    <t>cmitmit</t>
  </si>
  <si>
    <t>dbnpa</t>
  </si>
  <si>
    <t>peg</t>
  </si>
  <si>
    <t>ddac_50</t>
  </si>
  <si>
    <t>js67</t>
  </si>
  <si>
    <t>js68</t>
  </si>
  <si>
    <t>naclo</t>
  </si>
  <si>
    <t xml:space="preserve">Perfomaх 3-s600 (1,36)</t>
  </si>
  <si>
    <t xml:space="preserve">Drewgard 120 (1,727)</t>
  </si>
  <si>
    <t xml:space="preserve">Drewsperse 739 (1,01) </t>
  </si>
  <si>
    <t xml:space="preserve">Гипохлорит натрия  (1,25)</t>
  </si>
  <si>
    <t xml:space="preserve">Drewbrom EU (1,41)</t>
  </si>
  <si>
    <t>л</t>
  </si>
  <si>
    <t>кг</t>
  </si>
  <si>
    <t>СОВ1</t>
  </si>
  <si>
    <t>СОВ2</t>
  </si>
  <si>
    <t>СОВ2а</t>
  </si>
  <si>
    <t xml:space="preserve">Общий остаток</t>
  </si>
  <si>
    <t>Эктоскейл-350-1(1.314)</t>
  </si>
  <si>
    <t>№п/п</t>
  </si>
  <si>
    <t>Дата</t>
  </si>
  <si>
    <t xml:space="preserve">Время, ч.-мин.</t>
  </si>
  <si>
    <t xml:space="preserve">Расходная емкость</t>
  </si>
  <si>
    <t>Расход</t>
  </si>
  <si>
    <t xml:space="preserve">Примечание (загрузка, слив, перекачка и т.д.)</t>
  </si>
  <si>
    <t>Остаток</t>
  </si>
  <si>
    <t xml:space="preserve">За сутки</t>
  </si>
  <si>
    <t xml:space="preserve">С начала месяца</t>
  </si>
  <si>
    <t>л.</t>
  </si>
  <si>
    <t>кг.</t>
  </si>
  <si>
    <t>31.03/1.04.18</t>
  </si>
  <si>
    <t>00-00</t>
  </si>
  <si>
    <t>1/2.04.18</t>
  </si>
  <si>
    <t>2/3.04.18</t>
  </si>
  <si>
    <t>3/4.04.18</t>
  </si>
  <si>
    <t>4/5.04.18</t>
  </si>
  <si>
    <t>5/6.04.18</t>
  </si>
  <si>
    <t>6/7.04.18</t>
  </si>
  <si>
    <t>7/8.04.18</t>
  </si>
  <si>
    <t>8/9.04.18</t>
  </si>
  <si>
    <t>9/10.04.18</t>
  </si>
  <si>
    <t>10/11.04.18</t>
  </si>
  <si>
    <t>11/12.04.18</t>
  </si>
  <si>
    <t>12/13.04.18</t>
  </si>
  <si>
    <t>13/14.04.18</t>
  </si>
  <si>
    <t>14/15.04.18</t>
  </si>
  <si>
    <t>15/16.04.18</t>
  </si>
  <si>
    <t>16/17.04.18</t>
  </si>
  <si>
    <t>А</t>
  </si>
  <si>
    <t>17/18.04.18</t>
  </si>
  <si>
    <t>Г</t>
  </si>
  <si>
    <t>18/19.04.18</t>
  </si>
  <si>
    <t>В</t>
  </si>
  <si>
    <t>19/20.04.18</t>
  </si>
  <si>
    <t>Б</t>
  </si>
  <si>
    <t>20/21.04.18</t>
  </si>
  <si>
    <t>21/22.04.18</t>
  </si>
  <si>
    <t>22/23.04.18</t>
  </si>
  <si>
    <t>23/24.04.18</t>
  </si>
  <si>
    <t>24/25.04.18</t>
  </si>
  <si>
    <t>25/26.04.18</t>
  </si>
  <si>
    <t xml:space="preserve">привоз 120литов из тит.175</t>
  </si>
  <si>
    <t>26/27.04.18</t>
  </si>
  <si>
    <t>27/28.04.18</t>
  </si>
  <si>
    <t>28/29.04.18</t>
  </si>
  <si>
    <t>29/30.04.18</t>
  </si>
  <si>
    <t>30.04/1.05.18</t>
  </si>
  <si>
    <t>Эктоскейл-800-1(1.242)</t>
  </si>
  <si>
    <t xml:space="preserve">привоз 120 литров из тит.175</t>
  </si>
  <si>
    <t>h3o4_85</t>
  </si>
  <si>
    <t xml:space="preserve">kg/day H3PO4 concentration 85% gives 82% of ortophosphates</t>
  </si>
  <si>
    <t xml:space="preserve">kg/day PBTC (50% concentration) scale inhibitor gives 15% of organic phosphates</t>
  </si>
  <si>
    <t xml:space="preserve">kg/day TH-3100 (42% of AA/AMPS) – polymeric dispersant</t>
  </si>
  <si>
    <t xml:space="preserve">polyglycole - biodispersant (incorrect choice)</t>
  </si>
  <si>
    <t xml:space="preserve">14% CMIT/MIT - biocide</t>
  </si>
  <si>
    <t>DBNPA</t>
  </si>
  <si>
    <t xml:space="preserve">as solid biocide</t>
  </si>
  <si>
    <t xml:space="preserve">Polyethylene glycole - solvent for DBNPA</t>
  </si>
  <si>
    <t xml:space="preserve">50% quartenary amine</t>
  </si>
  <si>
    <t xml:space="preserve">commercial chemistry based on CMIT/MIT</t>
  </si>
  <si>
    <t xml:space="preserve">NaClO - sodium hypochlorite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</si>
</sst>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0.000"/>
    <numFmt numFmtId="165" formatCode="0.0"/>
    <numFmt numFmtId="166" formatCode="d\-mmm"/>
  </numFmts>
  <fonts count="15">
    <font>
      <sz val="11.000000"/>
      <color theme="1"/>
      <name val="Calibri"/>
    </font>
    <font>
      <sz val="10.000000"/>
      <name val="Arial"/>
    </font>
    <font>
      <sz val="10.000000"/>
      <name val="Arial Cyr"/>
    </font>
    <font>
      <sz val="11.000000"/>
      <color theme="1"/>
      <name val="Times New Roman"/>
    </font>
    <font>
      <b/>
      <sz val="28.000000"/>
      <color theme="1"/>
      <name val="Times New Roman"/>
    </font>
    <font>
      <b/>
      <i/>
      <sz val="28.000000"/>
      <color theme="1"/>
      <name val="Times New Roman"/>
    </font>
    <font>
      <b/>
      <sz val="11.000000"/>
      <color theme="1"/>
      <name val="Times New Roman"/>
    </font>
    <font>
      <b/>
      <sz val="12.000000"/>
      <name val="Times New Roman"/>
    </font>
    <font>
      <b/>
      <sz val="12.000000"/>
      <color theme="1"/>
      <name val="Times New Roman"/>
    </font>
    <font>
      <b/>
      <sz val="12.000000"/>
      <color theme="1"/>
      <name val="Calibri"/>
    </font>
    <font>
      <b/>
      <sz val="11.000000"/>
      <color theme="1"/>
      <name val="Calibri"/>
    </font>
    <font>
      <sz val="8.000000"/>
      <color theme="1"/>
      <name val="Calibri"/>
    </font>
    <font>
      <sz val="11.000000"/>
      <name val="Calibri"/>
    </font>
    <font>
      <b/>
      <sz val="11.000000"/>
      <name val="Calibri"/>
    </font>
    <font>
      <sz val="11.000000"/>
      <color theme="1"/>
      <name val="Calibri"/>
      <scheme val="minor"/>
    </font>
  </fonts>
  <fills count="12">
    <fill>
      <patternFill patternType="none"/>
    </fill>
    <fill>
      <patternFill patternType="gray125"/>
    </fill>
    <fill>
      <patternFill patternType="solid">
        <fgColor indexed="2"/>
        <bgColor indexed="60"/>
      </patternFill>
    </fill>
    <fill>
      <patternFill patternType="solid">
        <fgColor theme="9" tint="0.79979999999999996"/>
        <bgColor rgb="FFEBF1DE"/>
      </patternFill>
    </fill>
    <fill>
      <patternFill patternType="solid">
        <fgColor theme="6" tint="0.79979999999999996"/>
        <bgColor rgb="FFFDEADA"/>
      </patternFill>
    </fill>
    <fill>
      <patternFill patternType="solid">
        <fgColor indexed="5"/>
        <bgColor indexed="5"/>
      </patternFill>
    </fill>
    <fill>
      <patternFill patternType="solid">
        <fgColor theme="0"/>
        <bgColor rgb="FFEBF1DE"/>
      </patternFill>
    </fill>
    <fill>
      <patternFill patternType="solid">
        <fgColor rgb="FFFFC000"/>
        <bgColor indexed="52"/>
      </patternFill>
    </fill>
    <fill>
      <patternFill patternType="solid">
        <fgColor rgb="FF92D050"/>
        <bgColor indexed="22"/>
      </patternFill>
    </fill>
    <fill>
      <patternFill patternType="solid">
        <fgColor rgb="FF00B0F0"/>
        <bgColor indexed="49"/>
      </patternFill>
    </fill>
    <fill>
      <patternFill patternType="solid">
        <fgColor theme="7" tint="0.39979999999999999"/>
        <bgColor indexed="22"/>
      </patternFill>
    </fill>
    <fill>
      <patternFill patternType="solid">
        <fgColor theme="0" tint="-0.14999999999999999"/>
        <bgColor rgb="FFEBF1DE"/>
      </patternFill>
    </fill>
  </fills>
  <borders count="42">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medium">
        <color theme="1"/>
      </bottom>
      <diagonal style="none"/>
    </border>
    <border>
      <left style="none"/>
      <right style="thin">
        <color theme="1"/>
      </right>
      <top style="none"/>
      <bottom style="none"/>
      <diagonal style="none"/>
    </border>
    <border>
      <left style="thin">
        <color theme="1"/>
      </left>
      <right style="thin">
        <color theme="1"/>
      </right>
      <top style="none"/>
      <bottom style="thin">
        <color theme="1"/>
      </bottom>
      <diagonal style="none"/>
    </border>
    <border>
      <left style="thin">
        <color theme="1"/>
      </left>
      <right style="medium">
        <color theme="1"/>
      </right>
      <top style="thin">
        <color theme="1"/>
      </top>
      <bottom style="thin">
        <color theme="1"/>
      </bottom>
      <diagonal style="none"/>
    </border>
    <border>
      <left style="thin">
        <color theme="1"/>
      </left>
      <right style="medium">
        <color theme="1"/>
      </right>
      <top style="none"/>
      <bottom style="thin">
        <color theme="1"/>
      </bottom>
      <diagonal style="none"/>
    </border>
    <border>
      <left style="medium">
        <color theme="1"/>
      </left>
      <right style="medium">
        <color theme="1"/>
      </right>
      <top style="medium">
        <color theme="1"/>
      </top>
      <bottom style="none"/>
      <diagonal style="none"/>
    </border>
    <border>
      <left style="medium">
        <color theme="1"/>
      </left>
      <right style="medium">
        <color theme="1"/>
      </right>
      <top style="medium">
        <color theme="1"/>
      </top>
      <bottom style="thin">
        <color theme="1"/>
      </bottom>
      <diagonal style="none"/>
    </border>
    <border>
      <left style="medium">
        <color theme="1"/>
      </left>
      <right style="medium">
        <color theme="1"/>
      </right>
      <top style="medium">
        <color theme="1"/>
      </top>
      <bottom style="medium">
        <color theme="1"/>
      </bottom>
      <diagonal style="none"/>
    </border>
    <border>
      <left style="medium">
        <color theme="1"/>
      </left>
      <right style="thin">
        <color theme="1"/>
      </right>
      <top style="thin">
        <color theme="1"/>
      </top>
      <bottom style="medium">
        <color theme="1"/>
      </bottom>
      <diagonal style="none"/>
    </border>
    <border>
      <left style="thin">
        <color theme="1"/>
      </left>
      <right style="medium">
        <color theme="1"/>
      </right>
      <top style="thin">
        <color theme="1"/>
      </top>
      <bottom style="medium">
        <color theme="1"/>
      </bottom>
      <diagonal style="none"/>
    </border>
    <border>
      <left style="medium">
        <color theme="1"/>
      </left>
      <right style="none"/>
      <top style="none"/>
      <bottom style="medium">
        <color theme="1"/>
      </bottom>
      <diagonal style="none"/>
    </border>
    <border>
      <left style="none"/>
      <right style="none"/>
      <top style="thin">
        <color theme="1"/>
      </top>
      <bottom style="medium">
        <color theme="1"/>
      </bottom>
      <diagonal style="none"/>
    </border>
    <border>
      <left style="none"/>
      <right style="none"/>
      <top style="medium">
        <color theme="1"/>
      </top>
      <bottom style="none"/>
      <diagonal style="none"/>
    </border>
    <border>
      <left style="medium">
        <color theme="1"/>
      </left>
      <right style="medium">
        <color theme="1"/>
      </right>
      <top style="none"/>
      <bottom style="none"/>
      <diagonal style="none"/>
    </border>
    <border>
      <left style="thin">
        <color theme="1"/>
      </left>
      <right style="medium">
        <color theme="1"/>
      </right>
      <top style="thin">
        <color theme="1"/>
      </top>
      <bottom style="none"/>
      <diagonal style="none"/>
    </border>
    <border>
      <left style="none"/>
      <right style="medium">
        <color theme="1"/>
      </right>
      <top style="thin">
        <color theme="1"/>
      </top>
      <bottom style="none"/>
      <diagonal style="none"/>
    </border>
    <border>
      <left style="none"/>
      <right style="medium">
        <color theme="1"/>
      </right>
      <top style="medium">
        <color theme="1"/>
      </top>
      <bottom style="medium">
        <color theme="1"/>
      </bottom>
      <diagonal style="none"/>
    </border>
    <border>
      <left style="none"/>
      <right style="thin">
        <color theme="1"/>
      </right>
      <top style="medium">
        <color theme="1"/>
      </top>
      <bottom style="medium">
        <color theme="1"/>
      </bottom>
      <diagonal style="none"/>
    </border>
    <border>
      <left style="thin">
        <color theme="1"/>
      </left>
      <right style="none"/>
      <top style="medium">
        <color theme="1"/>
      </top>
      <bottom style="medium">
        <color theme="1"/>
      </bottom>
      <diagonal style="none"/>
    </border>
    <border>
      <left style="none"/>
      <right style="medium">
        <color theme="1"/>
      </right>
      <top style="none"/>
      <bottom style="medium">
        <color theme="1"/>
      </bottom>
      <diagonal style="none"/>
    </border>
    <border>
      <left style="medium">
        <color theme="1"/>
      </left>
      <right style="medium">
        <color theme="1"/>
      </right>
      <top style="none"/>
      <bottom style="medium">
        <color theme="1"/>
      </bottom>
      <diagonal style="none"/>
    </border>
    <border>
      <left style="thin">
        <color theme="1"/>
      </left>
      <right style="none"/>
      <top style="none"/>
      <bottom style="medium">
        <color theme="1"/>
      </bottom>
      <diagonal style="none"/>
    </border>
    <border>
      <left style="medium">
        <color theme="1"/>
      </left>
      <right style="thin">
        <color theme="1"/>
      </right>
      <top style="none"/>
      <bottom style="medium">
        <color theme="1"/>
      </bottom>
      <diagonal style="none"/>
    </border>
    <border>
      <left style="thin">
        <color theme="1"/>
      </left>
      <right style="medium">
        <color theme="1"/>
      </right>
      <top style="none"/>
      <bottom style="medium">
        <color theme="1"/>
      </bottom>
      <diagonal style="none"/>
    </border>
    <border>
      <left style="medium">
        <color theme="1"/>
      </left>
      <right style="none"/>
      <top style="medium">
        <color theme="1"/>
      </top>
      <bottom style="thick">
        <color theme="1"/>
      </bottom>
      <diagonal style="none"/>
    </border>
    <border>
      <left style="thin">
        <color theme="1"/>
      </left>
      <right style="medium">
        <color theme="1"/>
      </right>
      <top style="medium">
        <color theme="1"/>
      </top>
      <bottom style="none"/>
      <diagonal style="none"/>
    </border>
    <border>
      <left style="medium">
        <color theme="1"/>
      </left>
      <right style="thick">
        <color theme="1"/>
      </right>
      <top style="thick">
        <color theme="1"/>
      </top>
      <bottom style="medium">
        <color theme="1"/>
      </bottom>
      <diagonal style="none"/>
    </border>
    <border>
      <left style="thick">
        <color theme="1"/>
      </left>
      <right style="thick">
        <color theme="1"/>
      </right>
      <top style="thick">
        <color theme="1"/>
      </top>
      <bottom style="medium">
        <color theme="1"/>
      </bottom>
      <diagonal style="none"/>
    </border>
    <border>
      <left style="thick">
        <color theme="1"/>
      </left>
      <right style="none"/>
      <top style="thick">
        <color theme="1"/>
      </top>
      <bottom style="thick">
        <color theme="1"/>
      </bottom>
      <diagonal style="none"/>
    </border>
    <border>
      <left style="medium">
        <color theme="1"/>
      </left>
      <right style="thick">
        <color theme="1"/>
      </right>
      <top style="thick">
        <color theme="1"/>
      </top>
      <bottom style="thick">
        <color theme="1"/>
      </bottom>
      <diagonal style="none"/>
    </border>
    <border>
      <left style="thick">
        <color theme="1"/>
      </left>
      <right style="none"/>
      <top style="thick">
        <color theme="1"/>
      </top>
      <bottom style="medium">
        <color theme="1"/>
      </bottom>
      <diagonal style="none"/>
    </border>
    <border>
      <left style="thick">
        <color theme="1"/>
      </left>
      <right style="none"/>
      <top style="none"/>
      <bottom style="none"/>
      <diagonal style="none"/>
    </border>
    <border>
      <left style="thin">
        <color theme="1"/>
      </left>
      <right style="none"/>
      <top style="none"/>
      <bottom style="thin">
        <color theme="1"/>
      </bottom>
      <diagonal style="none"/>
    </border>
    <border>
      <left style="thick">
        <color theme="1"/>
      </left>
      <right style="none"/>
      <top style="none"/>
      <bottom style="thin">
        <color theme="1"/>
      </bottom>
      <diagonal style="none"/>
    </border>
    <border>
      <left style="thin">
        <color theme="1"/>
      </left>
      <right style="none"/>
      <top style="thin">
        <color theme="1"/>
      </top>
      <bottom style="thin">
        <color theme="1"/>
      </bottom>
      <diagonal style="none"/>
    </border>
    <border>
      <left style="thick">
        <color theme="1"/>
      </left>
      <right style="none"/>
      <top style="none"/>
      <bottom style="thick">
        <color theme="1"/>
      </bottom>
      <diagonal style="none"/>
    </border>
    <border>
      <left style="medium">
        <color theme="1"/>
      </left>
      <right style="none"/>
      <top style="medium">
        <color theme="1"/>
      </top>
      <bottom style="medium">
        <color theme="1"/>
      </bottom>
      <diagonal style="none"/>
    </border>
    <border>
      <left style="thick">
        <color theme="1"/>
      </left>
      <right style="thick">
        <color theme="1"/>
      </right>
      <top style="none"/>
      <bottom style="thick">
        <color theme="1"/>
      </bottom>
      <diagonal style="none"/>
    </border>
    <border>
      <left style="thick">
        <color theme="1"/>
      </left>
      <right style="thick">
        <color theme="1"/>
      </right>
      <top style="thick">
        <color theme="1"/>
      </top>
      <bottom style="thick">
        <color theme="1"/>
      </bottom>
      <diagonal style="none"/>
    </border>
    <border>
      <left style="thick">
        <color theme="1"/>
      </left>
      <right style="none"/>
      <top style="thick">
        <color theme="1"/>
      </top>
      <bottom style="none"/>
      <diagonal style="none"/>
    </border>
  </borders>
  <cellStyleXfs count="12">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0" fillId="0" borderId="0" numFmtId="0" applyNumberFormat="1" applyFont="1" applyFill="1" applyBorder="1" applyProtection="1">
      <protection hidden="0" locked="1"/>
    </xf>
    <xf fontId="0" fillId="0" borderId="0" numFmtId="0" applyNumberFormat="1" applyFont="1" applyFill="1" applyBorder="1" applyProtection="1">
      <protection hidden="0" locked="1"/>
    </xf>
    <xf fontId="1" fillId="0" borderId="0" numFmtId="0" applyNumberFormat="1" applyFont="1" applyFill="1" applyBorder="1" applyProtection="1">
      <protection hidden="0" locked="1"/>
    </xf>
  </cellStyleXfs>
  <cellXfs count="117">
    <xf fontId="0" fillId="0" borderId="0" numFmtId="0" xfId="0" applyProtection="0">
      <protection hidden="0" locked="1"/>
    </xf>
    <xf fontId="3" fillId="0" borderId="1" numFmtId="0" xfId="0" applyFont="1" applyBorder="1" applyProtection="1">
      <protection hidden="0" locked="1"/>
    </xf>
    <xf fontId="0" fillId="0" borderId="0" numFmtId="0" xfId="9" applyProtection="1">
      <protection hidden="0" locked="1"/>
    </xf>
    <xf fontId="3" fillId="0" borderId="1" numFmtId="0" xfId="0" applyFont="1" applyBorder="1" applyAlignment="1" applyProtection="1">
      <alignment horizontal="left"/>
      <protection hidden="0" locked="1"/>
    </xf>
    <xf fontId="4" fillId="0" borderId="2" numFmtId="0" xfId="0" applyFont="1" applyBorder="1" applyProtection="1">
      <protection hidden="0" locked="1"/>
    </xf>
    <xf fontId="5" fillId="0" borderId="3" numFmtId="0" xfId="0" applyFont="1" applyBorder="1" applyProtection="1">
      <protection hidden="0" locked="1"/>
    </xf>
    <xf fontId="3" fillId="0" borderId="4" numFmtId="0" xfId="0" applyFont="1" applyBorder="1" applyAlignment="1" applyProtection="1">
      <alignment horizontal="left"/>
      <protection hidden="0" locked="1"/>
    </xf>
    <xf fontId="3" fillId="0" borderId="0" numFmtId="0" xfId="0" applyFont="1" applyProtection="1">
      <protection hidden="0" locked="1"/>
    </xf>
    <xf fontId="0" fillId="0" borderId="0" numFmtId="0" xfId="0" applyProtection="1">
      <protection hidden="0" locked="1"/>
    </xf>
    <xf fontId="6" fillId="0" borderId="4" numFmtId="14" xfId="0" applyNumberFormat="1" applyFont="1" applyBorder="1" applyAlignment="1" applyProtection="1">
      <alignment horizontal="center" vertical="center"/>
      <protection hidden="0" locked="1"/>
    </xf>
    <xf fontId="7" fillId="2" borderId="4" numFmtId="164" xfId="0" applyNumberFormat="1" applyFont="1" applyFill="1" applyBorder="1" applyAlignment="1" applyProtection="1">
      <alignment horizontal="center"/>
      <protection hidden="0" locked="1"/>
    </xf>
    <xf fontId="7" fillId="2" borderId="5" numFmtId="2" xfId="0" applyNumberFormat="1" applyFont="1" applyFill="1" applyBorder="1" applyAlignment="1" applyProtection="1">
      <alignment horizontal="center"/>
      <protection hidden="0" locked="1"/>
    </xf>
    <xf fontId="8" fillId="2" borderId="6" numFmtId="2" xfId="0" applyNumberFormat="1" applyFont="1" applyFill="1" applyBorder="1" applyAlignment="1" applyProtection="1">
      <alignment horizontal="center"/>
      <protection hidden="0" locked="1"/>
    </xf>
    <xf fontId="7" fillId="3" borderId="4" numFmtId="164" xfId="0" applyNumberFormat="1" applyFont="1" applyFill="1" applyBorder="1" applyAlignment="1" applyProtection="1">
      <alignment horizontal="center"/>
      <protection hidden="0" locked="1"/>
    </xf>
    <xf fontId="7" fillId="4" borderId="4" numFmtId="164" xfId="0" applyNumberFormat="1" applyFont="1" applyFill="1" applyBorder="1" applyAlignment="1" applyProtection="1">
      <alignment horizontal="center"/>
      <protection hidden="0" locked="1"/>
    </xf>
    <xf fontId="7" fillId="5" borderId="4" numFmtId="164" xfId="0" applyNumberFormat="1" applyFont="1" applyFill="1" applyBorder="1" applyAlignment="1" applyProtection="1">
      <alignment horizontal="center"/>
      <protection hidden="0" locked="1"/>
    </xf>
    <xf fontId="3" fillId="6" borderId="1" numFmtId="0" xfId="0" applyFont="1" applyFill="1" applyBorder="1" applyProtection="1">
      <protection hidden="0" locked="1"/>
    </xf>
    <xf fontId="3" fillId="0" borderId="0" numFmtId="1" xfId="0" applyNumberFormat="1" applyFont="1" applyProtection="1">
      <protection hidden="0" locked="1"/>
    </xf>
    <xf fontId="0" fillId="0" borderId="7" numFmtId="0" xfId="0" applyBorder="1" applyAlignment="1" applyProtection="1">
      <alignment vertical="center"/>
      <protection hidden="0" locked="1"/>
    </xf>
    <xf fontId="9" fillId="5" borderId="8" numFmtId="0" xfId="0" applyFont="1" applyFill="1" applyBorder="1" applyAlignment="1" applyProtection="1">
      <alignment horizontal="center" vertical="center" wrapText="1"/>
      <protection hidden="0" locked="1"/>
    </xf>
    <xf fontId="9" fillId="7" borderId="8" numFmtId="0" xfId="0" applyFont="1" applyFill="1" applyBorder="1" applyAlignment="1" applyProtection="1">
      <alignment horizontal="center" vertical="center" wrapText="1"/>
      <protection hidden="0" locked="1"/>
    </xf>
    <xf fontId="9" fillId="8" borderId="8" numFmtId="0" xfId="0" applyFont="1" applyFill="1" applyBorder="1" applyAlignment="1" applyProtection="1">
      <alignment horizontal="center" vertical="center" wrapText="1"/>
      <protection hidden="0" locked="1"/>
    </xf>
    <xf fontId="10" fillId="9" borderId="8" numFmtId="0" xfId="0" applyFont="1" applyFill="1" applyBorder="1" applyAlignment="1" applyProtection="1">
      <alignment horizontal="center" vertical="center" wrapText="1"/>
      <protection hidden="0" locked="1"/>
    </xf>
    <xf fontId="9" fillId="10" borderId="8" numFmtId="0" xfId="0" applyFont="1" applyFill="1" applyBorder="1" applyAlignment="1" applyProtection="1">
      <alignment horizontal="center" vertical="center" wrapText="1"/>
      <protection hidden="0" locked="1"/>
    </xf>
    <xf fontId="10" fillId="0" borderId="0" numFmtId="0" xfId="0" applyFont="1" applyAlignment="1" applyProtection="1">
      <alignment horizontal="center"/>
      <protection hidden="0" locked="1"/>
    </xf>
    <xf fontId="10" fillId="0" borderId="0" numFmtId="0" xfId="0" applyFont="1" applyAlignment="1" applyProtection="1">
      <alignment horizontal="center" vertical="center"/>
      <protection hidden="0" locked="1"/>
    </xf>
    <xf fontId="0" fillId="0" borderId="9" numFmtId="0" xfId="0" applyBorder="1" applyAlignment="1" applyProtection="1">
      <alignment vertical="center"/>
      <protection hidden="0" locked="1"/>
    </xf>
    <xf fontId="10" fillId="5" borderId="10" numFmtId="0" xfId="0" applyFont="1" applyFill="1" applyBorder="1" applyAlignment="1" applyProtection="1">
      <alignment horizontal="center" vertical="center"/>
      <protection hidden="0" locked="1"/>
    </xf>
    <xf fontId="10" fillId="5" borderId="11" numFmtId="0" xfId="0" applyFont="1" applyFill="1" applyBorder="1" applyAlignment="1" applyProtection="1">
      <alignment horizontal="center" vertical="center"/>
      <protection hidden="0" locked="1"/>
    </xf>
    <xf fontId="0" fillId="7" borderId="12" numFmtId="0" xfId="0" applyFill="1" applyBorder="1" applyAlignment="1" applyProtection="1">
      <alignment horizontal="center" vertical="center"/>
      <protection hidden="0" locked="1"/>
    </xf>
    <xf fontId="0" fillId="7" borderId="11" numFmtId="0" xfId="0" applyFill="1" applyBorder="1" applyAlignment="1" applyProtection="1">
      <alignment horizontal="center" vertical="center"/>
      <protection hidden="0" locked="1"/>
    </xf>
    <xf fontId="10" fillId="8" borderId="13" numFmtId="0" xfId="0" applyFont="1" applyFill="1" applyBorder="1" applyAlignment="1" applyProtection="1">
      <alignment horizontal="center" vertical="center"/>
      <protection hidden="0" locked="1"/>
    </xf>
    <xf fontId="10" fillId="8" borderId="11" numFmtId="0" xfId="0" applyFont="1" applyFill="1" applyBorder="1" applyAlignment="1" applyProtection="1">
      <alignment horizontal="center" vertical="center"/>
      <protection hidden="0" locked="1"/>
    </xf>
    <xf fontId="10" fillId="9" borderId="10" numFmtId="0" xfId="0" applyFont="1" applyFill="1" applyBorder="1" applyAlignment="1" applyProtection="1">
      <alignment horizontal="center" vertical="center"/>
      <protection hidden="0" locked="1"/>
    </xf>
    <xf fontId="10" fillId="9" borderId="11" numFmtId="0" xfId="0" applyFont="1" applyFill="1" applyBorder="1" applyAlignment="1" applyProtection="1">
      <alignment horizontal="center" vertical="center"/>
      <protection hidden="0" locked="1"/>
    </xf>
    <xf fontId="10" fillId="10" borderId="10" numFmtId="0" xfId="0" applyFont="1" applyFill="1" applyBorder="1" applyAlignment="1" applyProtection="1">
      <alignment horizontal="center" vertical="center"/>
      <protection hidden="0" locked="1"/>
    </xf>
    <xf fontId="10" fillId="10" borderId="11" numFmtId="0" xfId="0" applyFont="1" applyFill="1" applyBorder="1" applyAlignment="1" applyProtection="1">
      <alignment horizontal="center" vertical="center"/>
      <protection hidden="0" locked="1"/>
    </xf>
    <xf fontId="11" fillId="0" borderId="0" numFmtId="0" xfId="0" applyFont="1" applyAlignment="1" applyProtection="1">
      <alignment horizontal="center"/>
      <protection hidden="0" locked="1"/>
    </xf>
    <xf fontId="0" fillId="5" borderId="7" numFmtId="2" xfId="0" applyNumberFormat="1" applyFill="1" applyBorder="1" applyAlignment="1" applyProtection="1">
      <alignment horizontal="center" vertical="center"/>
      <protection hidden="0" locked="1"/>
    </xf>
    <xf fontId="12" fillId="6" borderId="14" numFmtId="165" xfId="0" applyNumberFormat="1" applyFont="1" applyFill="1" applyBorder="1" applyAlignment="1" applyProtection="1">
      <alignment horizontal="center" vertical="center"/>
      <protection hidden="0" locked="1"/>
    </xf>
    <xf fontId="12" fillId="7" borderId="15" numFmtId="2" xfId="0" applyNumberFormat="1" applyFont="1" applyFill="1" applyBorder="1" applyAlignment="1" applyProtection="1">
      <alignment horizontal="center" vertical="center"/>
      <protection hidden="0" locked="1"/>
    </xf>
    <xf fontId="0" fillId="6" borderId="16" numFmtId="165" xfId="0" applyNumberFormat="1" applyFill="1" applyBorder="1" applyAlignment="1" applyProtection="1">
      <alignment horizontal="center" vertical="center"/>
      <protection hidden="0" locked="1"/>
    </xf>
    <xf fontId="13" fillId="8" borderId="9" numFmtId="2" xfId="0" applyNumberFormat="1" applyFont="1" applyFill="1" applyBorder="1" applyAlignment="1" applyProtection="1">
      <alignment horizontal="center" vertical="center"/>
      <protection hidden="0" locked="1"/>
    </xf>
    <xf fontId="0" fillId="6" borderId="17" numFmtId="165" xfId="0" applyNumberFormat="1" applyFill="1" applyBorder="1" applyAlignment="1" applyProtection="1">
      <alignment horizontal="center" vertical="center"/>
      <protection hidden="0" locked="1"/>
    </xf>
    <xf fontId="0" fillId="9" borderId="9" numFmtId="0" xfId="0" applyFill="1" applyBorder="1" applyAlignment="1" applyProtection="1">
      <alignment horizontal="center" vertical="center"/>
      <protection hidden="0" locked="1"/>
    </xf>
    <xf fontId="12" fillId="6" borderId="17" numFmtId="0" xfId="0" applyFont="1" applyFill="1" applyBorder="1" applyAlignment="1" applyProtection="1">
      <alignment horizontal="center" vertical="center"/>
      <protection hidden="0" locked="1"/>
    </xf>
    <xf fontId="0" fillId="10" borderId="9" numFmtId="0" xfId="0" applyFill="1" applyBorder="1" applyAlignment="1" applyProtection="1">
      <alignment horizontal="center" vertical="center"/>
      <protection hidden="0" locked="1"/>
    </xf>
    <xf fontId="0" fillId="0" borderId="0" numFmtId="0" xfId="0" applyAlignment="1" applyProtection="1">
      <alignment horizontal="center"/>
      <protection hidden="0" locked="1"/>
    </xf>
    <xf fontId="0" fillId="0" borderId="0" numFmtId="166" xfId="0" applyNumberFormat="1" applyAlignment="1" applyProtection="1">
      <alignment horizontal="center"/>
      <protection hidden="0" locked="1"/>
    </xf>
    <xf fontId="0" fillId="5" borderId="9" numFmtId="2" xfId="0" applyNumberFormat="1" applyFill="1" applyBorder="1" applyAlignment="1" applyProtection="1">
      <alignment horizontal="center" vertical="center"/>
      <protection hidden="0" locked="1"/>
    </xf>
    <xf fontId="12" fillId="6" borderId="18" numFmtId="165" xfId="0" applyNumberFormat="1" applyFont="1" applyFill="1" applyBorder="1" applyAlignment="1" applyProtection="1">
      <alignment horizontal="center" vertical="center"/>
      <protection hidden="0" locked="1"/>
    </xf>
    <xf fontId="0" fillId="7" borderId="9" numFmtId="2" xfId="0" applyNumberFormat="1" applyFill="1" applyBorder="1" applyAlignment="1" applyProtection="1">
      <alignment horizontal="center" vertical="center"/>
      <protection hidden="0" locked="1"/>
    </xf>
    <xf fontId="0" fillId="6" borderId="9" numFmtId="165" xfId="0" applyNumberFormat="1" applyFill="1" applyBorder="1" applyAlignment="1" applyProtection="1">
      <alignment horizontal="center" vertical="center"/>
      <protection hidden="0" locked="1"/>
    </xf>
    <xf fontId="0" fillId="6" borderId="19" numFmtId="165" xfId="0" applyNumberFormat="1" applyFill="1" applyBorder="1" applyAlignment="1" applyProtection="1">
      <alignment vertical="center"/>
      <protection hidden="0" locked="1"/>
    </xf>
    <xf fontId="0" fillId="6" borderId="20" numFmtId="165" xfId="0" applyNumberFormat="1" applyFill="1" applyBorder="1" applyAlignment="1" applyProtection="1">
      <alignment vertical="center"/>
      <protection hidden="0" locked="1"/>
    </xf>
    <xf fontId="12" fillId="6" borderId="18" numFmtId="0" xfId="0" applyFont="1" applyFill="1" applyBorder="1" applyAlignment="1" applyProtection="1">
      <alignment horizontal="center" vertical="center"/>
      <protection hidden="0" locked="1"/>
    </xf>
    <xf fontId="0" fillId="10" borderId="9" numFmtId="2" xfId="0" applyNumberFormat="1" applyFill="1" applyBorder="1" applyAlignment="1" applyProtection="1">
      <alignment horizontal="center" vertical="center"/>
      <protection hidden="0" locked="1"/>
    </xf>
    <xf fontId="0" fillId="6" borderId="18" numFmtId="165" xfId="0" applyNumberFormat="1" applyFill="1" applyBorder="1" applyAlignment="1" applyProtection="1">
      <alignment horizontal="center" vertical="center"/>
      <protection hidden="0" locked="1"/>
    </xf>
    <xf fontId="12" fillId="6" borderId="21" numFmtId="165" xfId="0" applyNumberFormat="1" applyFont="1" applyFill="1" applyBorder="1" applyAlignment="1" applyProtection="1">
      <alignment horizontal="center" vertical="center"/>
      <protection hidden="0" locked="1"/>
    </xf>
    <xf fontId="0" fillId="7" borderId="22" numFmtId="2" xfId="0" applyNumberFormat="1" applyFill="1" applyBorder="1" applyAlignment="1" applyProtection="1">
      <alignment horizontal="center" vertical="center"/>
      <protection hidden="0" locked="1"/>
    </xf>
    <xf fontId="0" fillId="6" borderId="23" numFmtId="165" xfId="0" applyNumberFormat="1" applyFill="1" applyBorder="1" applyAlignment="1" applyProtection="1">
      <alignment horizontal="center" vertical="center"/>
      <protection hidden="0" locked="1"/>
    </xf>
    <xf fontId="10" fillId="6" borderId="9" numFmtId="165" xfId="0" applyNumberFormat="1" applyFont="1" applyFill="1" applyBorder="1" applyAlignment="1" applyProtection="1">
      <alignment vertical="center"/>
      <protection hidden="0" locked="1"/>
    </xf>
    <xf fontId="10" fillId="6" borderId="18" numFmtId="165" xfId="0" applyNumberFormat="1" applyFont="1" applyFill="1" applyBorder="1" applyAlignment="1" applyProtection="1">
      <alignment vertical="center"/>
      <protection hidden="0" locked="1"/>
    </xf>
    <xf fontId="12" fillId="6" borderId="21" numFmtId="0" xfId="0" applyFont="1" applyFill="1" applyBorder="1" applyAlignment="1" applyProtection="1">
      <alignment horizontal="center" vertical="center"/>
      <protection hidden="0" locked="1"/>
    </xf>
    <xf fontId="0" fillId="6" borderId="21" numFmtId="165" xfId="0" applyNumberFormat="1" applyFill="1" applyBorder="1" applyAlignment="1" applyProtection="1">
      <alignment horizontal="center" vertical="center"/>
      <protection hidden="0" locked="1"/>
    </xf>
    <xf fontId="10" fillId="6" borderId="22" numFmtId="0" xfId="0" applyFont="1" applyFill="1" applyBorder="1" applyAlignment="1" applyProtection="1">
      <alignment horizontal="center" vertical="center" wrapText="1"/>
      <protection hidden="0" locked="1"/>
    </xf>
    <xf fontId="12" fillId="6" borderId="10" numFmtId="0" xfId="0" applyFont="1" applyFill="1" applyBorder="1" applyAlignment="1" applyProtection="1">
      <alignment horizontal="center" vertical="center"/>
      <protection hidden="0" locked="1"/>
    </xf>
    <xf fontId="12" fillId="6" borderId="11" numFmtId="165" xfId="0" applyNumberFormat="1" applyFont="1" applyFill="1" applyBorder="1" applyAlignment="1" applyProtection="1">
      <alignment horizontal="center" vertical="center"/>
      <protection hidden="0" locked="1"/>
    </xf>
    <xf fontId="0" fillId="6" borderId="10" numFmtId="0" xfId="0" applyFill="1" applyBorder="1" applyAlignment="1" applyProtection="1">
      <alignment horizontal="center" vertical="center"/>
      <protection hidden="0" locked="1"/>
    </xf>
    <xf fontId="0" fillId="6" borderId="11" numFmtId="165" xfId="0" applyNumberFormat="1" applyFill="1" applyBorder="1" applyAlignment="1" applyProtection="1">
      <alignment horizontal="center" vertical="center"/>
      <protection hidden="0" locked="1"/>
    </xf>
    <xf fontId="0" fillId="6" borderId="24" numFmtId="2" xfId="0" applyNumberFormat="1" applyFill="1" applyBorder="1" applyAlignment="1" applyProtection="1">
      <alignment horizontal="center" vertical="center"/>
      <protection hidden="0" locked="1"/>
    </xf>
    <xf fontId="0" fillId="6" borderId="25" numFmtId="165" xfId="0" applyNumberFormat="1" applyFill="1" applyBorder="1" applyAlignment="1" applyProtection="1">
      <alignment horizontal="center" vertical="center"/>
      <protection hidden="0" locked="1"/>
    </xf>
    <xf fontId="12" fillId="6" borderId="11" numFmtId="0" xfId="0" applyFont="1" applyFill="1" applyBorder="1" applyAlignment="1" applyProtection="1">
      <alignment horizontal="center" vertical="center"/>
      <protection hidden="0" locked="1"/>
    </xf>
    <xf fontId="0" fillId="0" borderId="0" numFmtId="0" xfId="0" applyAlignment="1" applyProtection="1">
      <alignment horizontal="center" vertical="center"/>
      <protection hidden="0" locked="1"/>
    </xf>
    <xf fontId="9" fillId="0" borderId="0" numFmtId="0" xfId="0" applyFont="1" applyAlignment="1" applyProtection="1">
      <alignment horizontal="center" vertical="center"/>
      <protection hidden="0" locked="1"/>
    </xf>
    <xf fontId="0" fillId="0" borderId="26" numFmtId="0" xfId="0" applyBorder="1" applyAlignment="1" applyProtection="1">
      <alignment horizontal="center"/>
      <protection hidden="0" locked="1"/>
    </xf>
    <xf fontId="0" fillId="0" borderId="27" numFmtId="0" xfId="0" applyBorder="1" applyProtection="1">
      <protection hidden="0" locked="1"/>
    </xf>
    <xf fontId="0" fillId="0" borderId="28" numFmtId="0" xfId="0" applyBorder="1" applyAlignment="1" applyProtection="1">
      <alignment horizontal="center" vertical="center"/>
      <protection hidden="0" locked="1"/>
    </xf>
    <xf fontId="0" fillId="0" borderId="29" numFmtId="0" xfId="0" applyBorder="1" applyAlignment="1" applyProtection="1">
      <alignment horizontal="center" vertical="center"/>
      <protection hidden="0" locked="1"/>
    </xf>
    <xf fontId="0" fillId="0" borderId="29" numFmtId="0" xfId="0" applyBorder="1" applyAlignment="1" applyProtection="1">
      <alignment horizontal="center" vertical="center" wrapText="1"/>
      <protection hidden="0" locked="1"/>
    </xf>
    <xf fontId="0" fillId="0" borderId="30" numFmtId="0" xfId="0" applyBorder="1" applyAlignment="1" applyProtection="1">
      <alignment horizontal="center"/>
      <protection hidden="0" locked="1"/>
    </xf>
    <xf fontId="0" fillId="0" borderId="9" numFmtId="0" xfId="0" applyBorder="1" applyAlignment="1" applyProtection="1">
      <alignment horizontal="center" readingOrder="1" vertical="center" wrapText="1"/>
      <protection hidden="0" locked="1"/>
    </xf>
    <xf fontId="0" fillId="0" borderId="30" numFmtId="0" xfId="0" applyBorder="1" applyAlignment="1" applyProtection="1">
      <alignment horizontal="center" vertical="center"/>
      <protection hidden="0" locked="1"/>
    </xf>
    <xf fontId="0" fillId="0" borderId="31" numFmtId="0" xfId="0" applyBorder="1" applyAlignment="1" applyProtection="1">
      <alignment horizontal="center"/>
      <protection hidden="0" locked="1"/>
    </xf>
    <xf fontId="0" fillId="0" borderId="29" numFmtId="0" xfId="0" applyBorder="1" applyAlignment="1" applyProtection="1">
      <alignment horizontal="center"/>
      <protection hidden="0" locked="1"/>
    </xf>
    <xf fontId="0" fillId="0" borderId="32" numFmtId="0" xfId="0" applyBorder="1" applyAlignment="1" applyProtection="1">
      <alignment horizontal="center"/>
      <protection hidden="0" locked="1"/>
    </xf>
    <xf fontId="0" fillId="0" borderId="28" numFmtId="0" xfId="0" applyBorder="1" applyAlignment="1" applyProtection="1">
      <alignment horizontal="center"/>
      <protection hidden="0" locked="1"/>
    </xf>
    <xf fontId="0" fillId="0" borderId="33" numFmtId="0" xfId="0" applyBorder="1" applyAlignment="1" applyProtection="1">
      <alignment horizontal="center"/>
      <protection hidden="0" locked="1"/>
    </xf>
    <xf fontId="0" fillId="11" borderId="4" numFmtId="0" xfId="0" applyFill="1" applyBorder="1" applyProtection="1">
      <protection hidden="0" locked="1"/>
    </xf>
    <xf fontId="0" fillId="11" borderId="4" numFmtId="0" xfId="0" applyFill="1" applyBorder="1" applyAlignment="1" applyProtection="1">
      <alignment horizontal="center" vertical="center"/>
      <protection hidden="0" locked="1"/>
    </xf>
    <xf fontId="0" fillId="11" borderId="34" numFmtId="0" xfId="0" applyFill="1" applyBorder="1" applyProtection="1">
      <protection hidden="0" locked="1"/>
    </xf>
    <xf fontId="0" fillId="0" borderId="35" numFmtId="0" xfId="0" applyBorder="1" applyProtection="1">
      <protection hidden="0" locked="1"/>
    </xf>
    <xf fontId="0" fillId="0" borderId="1" numFmtId="0" xfId="0" applyBorder="1" applyProtection="1">
      <protection hidden="0" locked="1"/>
    </xf>
    <xf fontId="0" fillId="0" borderId="36" numFmtId="0" xfId="0" applyBorder="1" applyProtection="1">
      <protection hidden="0" locked="1"/>
    </xf>
    <xf fontId="0" fillId="11" borderId="1" numFmtId="0" xfId="0" applyFill="1" applyBorder="1" applyProtection="1">
      <protection hidden="0" locked="1"/>
    </xf>
    <xf fontId="0" fillId="11" borderId="1" numFmtId="0" xfId="0" applyFill="1" applyBorder="1" applyAlignment="1" applyProtection="1">
      <alignment horizontal="center" vertical="center"/>
      <protection hidden="0" locked="1"/>
    </xf>
    <xf fontId="0" fillId="11" borderId="36" numFmtId="0" xfId="0" applyFill="1" applyBorder="1" applyProtection="1">
      <protection hidden="0" locked="1"/>
    </xf>
    <xf fontId="0" fillId="0" borderId="1" numFmtId="0" xfId="0" applyBorder="1" applyAlignment="1" applyProtection="1">
      <alignment horizontal="center" vertical="center"/>
      <protection hidden="0" locked="1"/>
    </xf>
    <xf fontId="0" fillId="0" borderId="1" numFmtId="2" xfId="0" applyNumberFormat="1" applyBorder="1" applyProtection="1">
      <protection hidden="0" locked="1"/>
    </xf>
    <xf fontId="0" fillId="11" borderId="1" numFmtId="2" xfId="0" applyNumberFormat="1" applyFill="1" applyBorder="1" applyAlignment="1" applyProtection="1">
      <alignment horizontal="center" vertical="center"/>
      <protection hidden="0" locked="1"/>
    </xf>
    <xf fontId="0" fillId="11" borderId="1" numFmtId="2" xfId="0" applyNumberFormat="1" applyFill="1" applyBorder="1" applyProtection="1">
      <protection hidden="0" locked="1"/>
    </xf>
    <xf fontId="0" fillId="0" borderId="1" numFmtId="2" xfId="0" applyNumberFormat="1" applyBorder="1" applyAlignment="1" applyProtection="1">
      <alignment horizontal="center" vertical="center"/>
      <protection hidden="0" locked="1"/>
    </xf>
    <xf fontId="10" fillId="0" borderId="1" numFmtId="2" xfId="0" applyNumberFormat="1" applyFont="1" applyBorder="1" applyProtection="1">
      <protection hidden="0" locked="1"/>
    </xf>
    <xf fontId="10" fillId="0" borderId="1" numFmtId="0" xfId="0" applyFont="1" applyBorder="1" applyProtection="1">
      <protection hidden="0" locked="1"/>
    </xf>
    <xf fontId="10" fillId="11" borderId="1" numFmtId="2" xfId="0" applyNumberFormat="1" applyFont="1" applyFill="1" applyBorder="1" applyAlignment="1" applyProtection="1">
      <alignment horizontal="center" vertical="center"/>
      <protection hidden="0" locked="1"/>
    </xf>
    <xf fontId="10" fillId="11" borderId="1" numFmtId="2" xfId="0" applyNumberFormat="1" applyFont="1" applyFill="1" applyBorder="1" applyProtection="1">
      <protection hidden="0" locked="1"/>
    </xf>
    <xf fontId="0" fillId="0" borderId="37" numFmtId="0" xfId="0" applyBorder="1" applyProtection="1">
      <protection hidden="0" locked="1"/>
    </xf>
    <xf fontId="0" fillId="0" borderId="38" numFmtId="0" xfId="0" applyBorder="1" applyAlignment="1" applyProtection="1">
      <alignment horizontal="center"/>
      <protection hidden="0" locked="1"/>
    </xf>
    <xf fontId="0" fillId="0" borderId="39" numFmtId="0" xfId="0" applyBorder="1" applyAlignment="1" applyProtection="1">
      <alignment horizontal="center" vertical="center"/>
      <protection hidden="0" locked="1"/>
    </xf>
    <xf fontId="0" fillId="0" borderId="39" numFmtId="0" xfId="0" applyBorder="1" applyAlignment="1" applyProtection="1">
      <alignment horizontal="center" vertical="center" wrapText="1"/>
      <protection hidden="0" locked="1"/>
    </xf>
    <xf fontId="0" fillId="0" borderId="39" numFmtId="0" xfId="0" applyBorder="1" applyAlignment="1" applyProtection="1">
      <alignment horizontal="center"/>
      <protection hidden="0" locked="1"/>
    </xf>
    <xf fontId="0" fillId="0" borderId="37" numFmtId="0" xfId="0" applyBorder="1" applyAlignment="1" applyProtection="1">
      <alignment horizontal="center"/>
      <protection hidden="0" locked="1"/>
    </xf>
    <xf fontId="0" fillId="0" borderId="40" numFmtId="0" xfId="0" applyBorder="1" applyAlignment="1" applyProtection="1">
      <alignment horizontal="center" vertical="center"/>
      <protection hidden="0" locked="1"/>
    </xf>
    <xf fontId="0" fillId="0" borderId="40" numFmtId="0" xfId="0" applyBorder="1" applyAlignment="1" applyProtection="1">
      <alignment horizontal="center"/>
      <protection hidden="0" locked="1"/>
    </xf>
    <xf fontId="0" fillId="0" borderId="41" numFmtId="0" xfId="0" applyBorder="1" applyAlignment="1" applyProtection="1">
      <alignment horizontal="center"/>
      <protection hidden="0" locked="1"/>
    </xf>
    <xf fontId="14" fillId="0" borderId="0" numFmtId="0" xfId="0" applyFont="1" applyProtection="1">
      <protection hidden="0" locked="1"/>
    </xf>
    <xf fontId="14" fillId="0" borderId="0" numFmtId="0" xfId="0" applyFont="1" applyProtection="0">
      <protection hidden="0" locked="1"/>
    </xf>
  </cellXfs>
  <cellStyles count="12">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_01 Operation Monitoring ver 0()_SAMPLE_1" xfId="7"/>
    <cellStyle name="Normal_07 Utilities consumption ver 0(ÝËÎÓ)_1" xfId="8"/>
    <cellStyle name="Обычный 2" xfId="9"/>
    <cellStyle name="Обычный 2 2" xfId="10"/>
    <cellStyle name="Обычный 3"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Хабибуллин Альмир Альвертович" id="{81AEB467-F495-7B8C-F079-9183B657D023}"/>
  <person displayName="Хуснутдинов Алмаз Азатович" id="{CF7E723F-27B8-E068-FD27-DA0685F8A4E6}"/>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F2" personId="{81AEB467-F495-7B8C-F079-9183B657D023}" id="{6ACC9F82-6F91-4976-A09B-E10F7186FFF7}" done="0">
    <text xml:space="preserve">Нормы реагенты на 2026 изм.1 с февраля 
Вс 01.03.2026 13:44
</text>
  </threadedComment>
  <threadedComment ref="J11" personId="{81AEB467-F495-7B8C-F079-9183B657D023}" id="{29A6954B-7015-4C59-B29F-2FE2D023406F}" done="0">
    <text xml:space="preserve">
Внимание водоблоков 2, 3, 4!.
10.06.2026 вместо раствора ДБНПА дозируем Джурби 67.
Дозировки указаны ниже.
Ср 10.06.2026 7:36
Гуськов Евгений Николаевич
</text>
  </threadedComment>
  <threadedComment ref="I15" personId="{81AEB467-F495-7B8C-F079-9183B657D023}" id="{476BBC10-DC68-4BE0-AC05-A6E4E2BF2654}" done="0">
    <text xml:space="preserve">Таблица Excel – график и нормы дозирования биоцидов на январь.
Пн 12.01.2026 9:43 
</text>
  </threadedComment>
  <threadedComment ref="F19" personId="{CF7E723F-27B8-E068-FD27-DA0685F8A4E6}" id="{3C2FE683-9E56-4A1B-B339-E9ADC04F5709}" done="0">
    <text xml:space="preserve">Сагдеев Камиль Айратович 
Рекомендации для работы.
Пт 16.01.2026 16:15
</text>
  </threadedComment>
  <threadedComment ref="L22" personId="{81AEB467-F495-7B8C-F079-9183B657D023}" id="{C457E299-E7E3-4870-B36A-1DF835FB5E7C}" done="0">
    <text xml:space="preserve">Сагдеев Камиль Айратович 
Рекомендации для работы.
Пт 16.01.2026 16:15  
ГПХ, л
Водоблок №2 
  С2   165  литр
</text>
  </threadedComment>
  <threadedComment ref="I22" personId="{CF7E723F-27B8-E068-FD27-DA0685F8A4E6}" id="{1B8C6631-A5F7-4D29-86DA-0CEA06F4E455}" done="0">
    <text xml:space="preserve">Сагдеев Камиль Айратович 
Рекомендации для работы.
Пт 16.01.2026 16:15
</text>
  </threadedComment>
  <threadedComment ref="J25" personId="{81AEB467-F495-7B8C-F079-9183B657D023}" id="{0118BCB5-27D2-43D6-B920-3937A6B2A390}" done="0">
    <text xml:space="preserve">
Добрый день.
Рекомендация по дозированию биоцида Джурби 67 на 24.06.2026.
Биоциды  расход на дозировку, кг 
ДЖУРБИ С1 С2 С2А ИТОГО
В2 96,8 93,2 85 
В3 89,1 71,5 89,1 
В4 245 84 155 
   1008,7 кг
Камиль Сагдеев 
24-22-41
Ср 24.06.2026 8:02
</text>
  </threadedComment>
  <threadedComment ref="F26" personId="{81AEB467-F495-7B8C-F079-9183B657D023}" id="{1D8477FD-BCEE-4CF3-AD6E-99E633926EE1}" done="0">
    <text xml:space="preserve">Направляю таблицы рекомендаций.
А. Локшин
Чт 22.01.2026 9:57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80" workbookViewId="0">
      <pane xSplit="1" topLeftCell="B1" activePane="topRight" state="frozen"/>
      <selection activeCell="F32" activeCellId="0" sqref="F32"/>
    </sheetView>
  </sheetViews>
  <sheetFormatPr defaultColWidth="9.1484375" defaultRowHeight="14.25"/>
  <cols>
    <col customWidth="1" min="1" max="1" style="1" width="12"/>
    <col customWidth="1" min="2" max="2" style="1" width="24.059999999999999"/>
    <col customWidth="1" min="3" max="3" style="1" width="10.710000000000001"/>
    <col customWidth="1" min="4" max="4" style="1" width="10.85"/>
    <col customWidth="1" min="5" max="5" style="1" width="9.7100000000000009"/>
    <col customWidth="1" min="6" max="6" style="1" width="14.57"/>
    <col customWidth="1" min="7" max="8" style="1" width="13.859999999999999"/>
    <col customWidth="1" min="9" max="9" style="1" width="20.710000000000001"/>
    <col customWidth="1" min="10" max="10" style="2" width="11.140000000000001"/>
    <col customWidth="1" min="11" max="11" style="2" width="10.57"/>
    <col customWidth="1" min="12" max="12" style="1" width="18"/>
    <col customWidth="0" min="13" max="99" style="1" width="9.1400000000000006"/>
    <col customWidth="1" min="100" max="140" style="1" width="11.529999999999999"/>
    <col customWidth="0" min="141" max="16345" style="1" width="9.1400000000000006"/>
    <col customWidth="1" min="16346" max="16384" style="1" width="11.529999999999999"/>
  </cols>
  <sheetData>
    <row r="1" s="3" customFormat="1" ht="27" customHeight="1">
      <c r="A1" s="4" t="s">
        <v>0</v>
      </c>
      <c r="B1" s="5" t="s">
        <v>1</v>
      </c>
      <c r="C1" s="6" t="s">
        <v>2</v>
      </c>
      <c r="D1" s="6" t="s">
        <v>3</v>
      </c>
      <c r="E1" s="6" t="s">
        <v>4</v>
      </c>
      <c r="F1" s="6" t="s">
        <v>5</v>
      </c>
      <c r="G1" s="6" t="s">
        <v>6</v>
      </c>
      <c r="H1" s="6" t="s">
        <v>7</v>
      </c>
      <c r="I1" s="6" t="s">
        <v>8</v>
      </c>
      <c r="J1" s="2" t="s">
        <v>9</v>
      </c>
      <c r="K1" s="2" t="s">
        <v>10</v>
      </c>
      <c r="L1" s="7" t="s">
        <v>11</v>
      </c>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row>
    <row r="2" ht="15">
      <c r="A2" s="9">
        <v>46174</v>
      </c>
      <c r="B2" s="10">
        <v>3.8159999999999998</v>
      </c>
      <c r="C2" s="10">
        <v>3.1800000000000002</v>
      </c>
      <c r="D2" s="10">
        <v>6.3600000000000003</v>
      </c>
      <c r="E2" s="10">
        <v>2.0350000000000001</v>
      </c>
      <c r="F2" s="11">
        <v>0</v>
      </c>
      <c r="G2" s="11">
        <v>0</v>
      </c>
      <c r="H2" s="11">
        <v>0</v>
      </c>
      <c r="I2" s="12"/>
      <c r="J2" s="13"/>
      <c r="K2" s="14"/>
      <c r="L2" s="13"/>
    </row>
    <row r="3" ht="15">
      <c r="A3" s="9">
        <v>46175</v>
      </c>
      <c r="B3" s="10">
        <v>3.3119999999999998</v>
      </c>
      <c r="C3" s="10">
        <v>2.7599999999999998</v>
      </c>
      <c r="D3" s="10">
        <v>5.5199999999999996</v>
      </c>
      <c r="E3" s="10">
        <v>1.766</v>
      </c>
      <c r="F3" s="11">
        <v>0</v>
      </c>
      <c r="G3" s="11">
        <v>0</v>
      </c>
      <c r="H3" s="11">
        <v>0</v>
      </c>
      <c r="I3" s="12"/>
      <c r="J3" s="13"/>
      <c r="K3" s="14"/>
      <c r="L3" s="13"/>
    </row>
    <row r="4" ht="15">
      <c r="A4" s="9">
        <v>46176</v>
      </c>
      <c r="B4" s="10">
        <v>3.3839999999999999</v>
      </c>
      <c r="C4" s="10">
        <v>2.8199999999999998</v>
      </c>
      <c r="D4" s="10">
        <v>5.6399999999999997</v>
      </c>
      <c r="E4" s="10">
        <v>1.8049999999999999</v>
      </c>
      <c r="F4" s="11">
        <v>0</v>
      </c>
      <c r="G4" s="11">
        <v>0</v>
      </c>
      <c r="H4" s="11">
        <v>0</v>
      </c>
      <c r="I4" s="12"/>
      <c r="J4" s="15">
        <v>83.200000000000003</v>
      </c>
      <c r="K4" s="14"/>
      <c r="L4" s="13"/>
    </row>
    <row r="5" ht="15">
      <c r="A5" s="9">
        <v>46177</v>
      </c>
      <c r="B5" s="10">
        <v>4.242</v>
      </c>
      <c r="C5" s="10">
        <v>3.5350000000000001</v>
      </c>
      <c r="D5" s="10">
        <v>7.0700000000000003</v>
      </c>
      <c r="E5" s="10">
        <v>2.262</v>
      </c>
      <c r="F5" s="11">
        <v>0</v>
      </c>
      <c r="G5" s="11">
        <v>0</v>
      </c>
      <c r="H5" s="11">
        <v>0</v>
      </c>
      <c r="I5" s="12"/>
      <c r="J5" s="13"/>
      <c r="K5" s="14"/>
      <c r="L5" s="13"/>
    </row>
    <row r="6" ht="15">
      <c r="A6" s="9">
        <v>46178</v>
      </c>
      <c r="B6" s="10">
        <v>3.7799999999999998</v>
      </c>
      <c r="C6" s="10">
        <v>3.1499999999999999</v>
      </c>
      <c r="D6" s="10">
        <v>6.2999999999999998</v>
      </c>
      <c r="E6" s="10">
        <v>2.016</v>
      </c>
      <c r="F6" s="11">
        <v>0</v>
      </c>
      <c r="G6" s="11">
        <v>0</v>
      </c>
      <c r="H6" s="11">
        <v>0</v>
      </c>
      <c r="I6" s="12"/>
      <c r="J6" s="13"/>
      <c r="K6" s="14"/>
      <c r="L6" s="13"/>
    </row>
    <row r="7" ht="15">
      <c r="A7" s="9">
        <v>46179</v>
      </c>
      <c r="B7" s="10">
        <v>3.7320000000000002</v>
      </c>
      <c r="C7" s="10">
        <v>3.1099999999999999</v>
      </c>
      <c r="D7" s="10">
        <v>6.2199999999999998</v>
      </c>
      <c r="E7" s="10">
        <v>1.99</v>
      </c>
      <c r="F7" s="11">
        <v>0</v>
      </c>
      <c r="G7" s="11">
        <v>0</v>
      </c>
      <c r="H7" s="11">
        <v>0</v>
      </c>
      <c r="I7" s="12"/>
      <c r="J7" s="13"/>
      <c r="K7" s="14"/>
      <c r="L7" s="13"/>
    </row>
    <row r="8" ht="15">
      <c r="A8" s="9">
        <v>46180</v>
      </c>
      <c r="B8" s="10">
        <v>4.4219999999999997</v>
      </c>
      <c r="C8" s="10">
        <v>3.6850000000000001</v>
      </c>
      <c r="D8" s="10">
        <v>7.3700000000000001</v>
      </c>
      <c r="E8" s="10">
        <v>2.3580000000000001</v>
      </c>
      <c r="F8" s="11">
        <v>0</v>
      </c>
      <c r="G8" s="11">
        <v>0</v>
      </c>
      <c r="H8" s="11">
        <v>0</v>
      </c>
      <c r="I8" s="12"/>
      <c r="J8" s="13"/>
      <c r="K8" s="15">
        <v>83.200000000000003</v>
      </c>
      <c r="L8" s="13"/>
    </row>
    <row r="9" ht="15">
      <c r="A9" s="9">
        <v>46181</v>
      </c>
      <c r="B9" s="10">
        <v>4.8659999999999997</v>
      </c>
      <c r="C9" s="10">
        <v>4.0549999999999997</v>
      </c>
      <c r="D9" s="10">
        <v>8.1099999999999994</v>
      </c>
      <c r="E9" s="10">
        <v>2.5950000000000002</v>
      </c>
      <c r="F9" s="11">
        <v>0</v>
      </c>
      <c r="G9" s="11">
        <v>0</v>
      </c>
      <c r="H9" s="11">
        <v>0</v>
      </c>
      <c r="I9" s="12"/>
      <c r="J9" s="13"/>
      <c r="K9" s="14"/>
      <c r="L9" s="13"/>
    </row>
    <row r="10" s="16" customFormat="1" ht="15">
      <c r="A10" s="9">
        <v>46182</v>
      </c>
      <c r="B10" s="10">
        <v>4.6619999999999999</v>
      </c>
      <c r="C10" s="10">
        <v>3.8849999999999998</v>
      </c>
      <c r="D10" s="10">
        <v>7.7699999999999996</v>
      </c>
      <c r="E10" s="10">
        <v>2.4860000000000002</v>
      </c>
      <c r="F10" s="11">
        <v>0</v>
      </c>
      <c r="G10" s="11">
        <v>0</v>
      </c>
      <c r="H10" s="11">
        <v>0</v>
      </c>
      <c r="I10" s="12"/>
      <c r="J10" s="13"/>
      <c r="K10" s="14"/>
      <c r="L10" s="13"/>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row>
    <row r="11" ht="15">
      <c r="A11" s="9">
        <v>46183</v>
      </c>
      <c r="B11" s="10">
        <v>6.5439999999999996</v>
      </c>
      <c r="C11" s="10">
        <v>4.0899999999999999</v>
      </c>
      <c r="D11" s="10">
        <v>11.452</v>
      </c>
      <c r="E11" s="10">
        <v>2.4540000000000002</v>
      </c>
      <c r="F11" s="11">
        <v>0</v>
      </c>
      <c r="G11" s="11">
        <v>0</v>
      </c>
      <c r="H11" s="11">
        <v>0</v>
      </c>
      <c r="I11" s="12"/>
      <c r="J11" s="15">
        <v>83.200000000000003</v>
      </c>
      <c r="K11" s="14"/>
      <c r="L11" s="13"/>
    </row>
    <row r="12" ht="15" customHeight="1">
      <c r="A12" s="9">
        <v>46184</v>
      </c>
      <c r="B12" s="10">
        <v>6.1760000000000002</v>
      </c>
      <c r="C12" s="10">
        <v>3.8599999999999999</v>
      </c>
      <c r="D12" s="10">
        <v>10.808</v>
      </c>
      <c r="E12" s="10">
        <v>2.3159999999999998</v>
      </c>
      <c r="F12" s="11">
        <v>0</v>
      </c>
      <c r="G12" s="11">
        <v>0</v>
      </c>
      <c r="H12" s="11">
        <v>0</v>
      </c>
      <c r="I12" s="12"/>
      <c r="J12" s="13"/>
      <c r="K12" s="14"/>
      <c r="L12" s="13"/>
    </row>
    <row r="13" ht="15.75" customHeight="1">
      <c r="A13" s="9">
        <v>46185</v>
      </c>
      <c r="B13" s="10">
        <v>4.1760000000000002</v>
      </c>
      <c r="C13" s="10">
        <v>2.6099999999999999</v>
      </c>
      <c r="D13" s="10">
        <v>7.3079999999999998</v>
      </c>
      <c r="E13" s="10">
        <v>1.5660000000000001</v>
      </c>
      <c r="F13" s="11">
        <v>0</v>
      </c>
      <c r="G13" s="11">
        <v>0</v>
      </c>
      <c r="H13" s="11">
        <v>0</v>
      </c>
      <c r="I13" s="12"/>
      <c r="J13" s="13"/>
      <c r="K13" s="14"/>
      <c r="L13" s="13"/>
    </row>
    <row r="14" ht="15.75" customHeight="1">
      <c r="A14" s="9">
        <v>46186</v>
      </c>
      <c r="B14" s="10">
        <v>3.7360000000000002</v>
      </c>
      <c r="C14" s="10">
        <v>2.335</v>
      </c>
      <c r="D14" s="10">
        <v>6.5380000000000003</v>
      </c>
      <c r="E14" s="10">
        <v>1.401</v>
      </c>
      <c r="F14" s="11">
        <v>0</v>
      </c>
      <c r="G14" s="11">
        <v>0</v>
      </c>
      <c r="H14" s="11">
        <v>0</v>
      </c>
      <c r="I14" s="12"/>
      <c r="J14" s="13"/>
      <c r="K14" s="14"/>
      <c r="L14" s="13"/>
    </row>
    <row r="15" ht="15">
      <c r="A15" s="9">
        <v>46187</v>
      </c>
      <c r="B15" s="10">
        <v>4.1360000000000001</v>
      </c>
      <c r="C15" s="10">
        <v>2.585</v>
      </c>
      <c r="D15" s="10">
        <v>7.2380000000000004</v>
      </c>
      <c r="E15" s="10">
        <v>1.5509999999999999</v>
      </c>
      <c r="F15" s="11">
        <v>0</v>
      </c>
      <c r="G15" s="11">
        <v>0</v>
      </c>
      <c r="H15" s="11">
        <v>0</v>
      </c>
      <c r="I15" s="12"/>
      <c r="J15" s="13"/>
      <c r="K15" s="14"/>
      <c r="L15" s="13"/>
    </row>
    <row r="16" ht="15">
      <c r="A16" s="9">
        <v>46188</v>
      </c>
      <c r="B16" s="10">
        <v>3.8559999999999999</v>
      </c>
      <c r="C16" s="10">
        <v>2.4100000000000001</v>
      </c>
      <c r="D16" s="10">
        <v>6.7480000000000002</v>
      </c>
      <c r="E16" s="10">
        <v>1.446</v>
      </c>
      <c r="F16" s="11">
        <v>0</v>
      </c>
      <c r="G16" s="11">
        <v>0</v>
      </c>
      <c r="H16" s="11">
        <v>0</v>
      </c>
      <c r="I16" s="12"/>
      <c r="J16" s="13"/>
      <c r="K16" s="14"/>
      <c r="L16" s="13"/>
    </row>
    <row r="17" ht="15">
      <c r="A17" s="9">
        <v>46189</v>
      </c>
      <c r="B17" s="10">
        <v>4.2560000000000002</v>
      </c>
      <c r="C17" s="10">
        <v>2.6600000000000001</v>
      </c>
      <c r="D17" s="10">
        <v>7.4480000000000004</v>
      </c>
      <c r="E17" s="10">
        <v>1.5960000000000001</v>
      </c>
      <c r="F17" s="11">
        <v>0</v>
      </c>
      <c r="G17" s="11">
        <v>0</v>
      </c>
      <c r="H17" s="11">
        <v>0</v>
      </c>
      <c r="I17" s="12"/>
      <c r="J17" s="13"/>
      <c r="K17" s="14"/>
      <c r="L17" s="13"/>
    </row>
    <row r="18" ht="15">
      <c r="A18" s="9">
        <v>46190</v>
      </c>
      <c r="B18" s="10">
        <v>3.952</v>
      </c>
      <c r="C18" s="10">
        <v>2.4700000000000002</v>
      </c>
      <c r="D18" s="10">
        <v>6.9160000000000004</v>
      </c>
      <c r="E18" s="10">
        <v>1.482</v>
      </c>
      <c r="F18" s="11">
        <v>0</v>
      </c>
      <c r="G18" s="11">
        <v>0</v>
      </c>
      <c r="H18" s="11">
        <v>0</v>
      </c>
      <c r="I18" s="12"/>
      <c r="J18" s="13"/>
      <c r="K18" s="15">
        <v>83.200000000000003</v>
      </c>
      <c r="L18" s="13"/>
    </row>
    <row r="19" ht="15">
      <c r="A19" s="9">
        <v>46191</v>
      </c>
      <c r="B19" s="10">
        <v>3.7040000000000002</v>
      </c>
      <c r="C19" s="10">
        <v>2.3149999999999999</v>
      </c>
      <c r="D19" s="10">
        <v>6.4820000000000002</v>
      </c>
      <c r="E19" s="10">
        <v>1.389</v>
      </c>
      <c r="F19" s="11">
        <v>0</v>
      </c>
      <c r="G19" s="11">
        <v>0</v>
      </c>
      <c r="H19" s="11">
        <v>0</v>
      </c>
      <c r="I19" s="12"/>
      <c r="J19" s="13"/>
      <c r="K19" s="14"/>
      <c r="L19" s="13"/>
    </row>
    <row r="20" ht="15">
      <c r="A20" s="9">
        <v>46192</v>
      </c>
      <c r="B20" s="10">
        <v>4.032</v>
      </c>
      <c r="C20" s="10">
        <v>2.52</v>
      </c>
      <c r="D20" s="10">
        <v>7.056</v>
      </c>
      <c r="E20" s="10">
        <v>1.512</v>
      </c>
      <c r="F20" s="11">
        <v>0</v>
      </c>
      <c r="G20" s="11">
        <v>0</v>
      </c>
      <c r="H20" s="11">
        <v>0</v>
      </c>
      <c r="I20" s="12"/>
      <c r="J20" s="13"/>
      <c r="K20" s="14"/>
      <c r="L20" s="13"/>
    </row>
    <row r="21" ht="15">
      <c r="A21" s="9">
        <v>46193</v>
      </c>
      <c r="B21" s="10">
        <v>3.2799999999999998</v>
      </c>
      <c r="C21" s="10">
        <v>2.0499999999999998</v>
      </c>
      <c r="D21" s="10">
        <v>5.7400000000000002</v>
      </c>
      <c r="E21" s="10">
        <v>1.23</v>
      </c>
      <c r="F21" s="11">
        <v>0</v>
      </c>
      <c r="G21" s="11">
        <v>0</v>
      </c>
      <c r="H21" s="11">
        <v>0</v>
      </c>
      <c r="I21" s="12"/>
      <c r="J21" s="13"/>
      <c r="K21" s="14"/>
      <c r="L21" s="13"/>
    </row>
    <row r="22" ht="15">
      <c r="A22" s="9">
        <v>46194</v>
      </c>
      <c r="B22" s="10">
        <v>4.2160000000000002</v>
      </c>
      <c r="C22" s="10">
        <v>2.6349999999999998</v>
      </c>
      <c r="D22" s="10">
        <v>7.3780000000000001</v>
      </c>
      <c r="E22" s="10">
        <v>1.581</v>
      </c>
      <c r="F22" s="11">
        <v>0</v>
      </c>
      <c r="G22" s="11">
        <v>0</v>
      </c>
      <c r="H22" s="11">
        <v>0</v>
      </c>
      <c r="I22" s="12"/>
      <c r="J22" s="13"/>
      <c r="K22" s="14"/>
      <c r="L22" s="15">
        <v>165</v>
      </c>
    </row>
    <row r="23" ht="15">
      <c r="A23" s="9">
        <v>46195</v>
      </c>
      <c r="B23" s="10">
        <v>3.032</v>
      </c>
      <c r="C23" s="10">
        <v>2.653</v>
      </c>
      <c r="D23" s="10">
        <v>5.306</v>
      </c>
      <c r="E23" s="10">
        <v>1.2130000000000001</v>
      </c>
      <c r="F23" s="11">
        <v>0</v>
      </c>
      <c r="G23" s="11">
        <v>0</v>
      </c>
      <c r="H23" s="11">
        <v>0</v>
      </c>
      <c r="I23" s="12"/>
      <c r="J23" s="13"/>
      <c r="K23" s="14"/>
      <c r="L23" s="13"/>
    </row>
    <row r="24" ht="15.75" customHeight="1">
      <c r="A24" s="9">
        <v>46196</v>
      </c>
      <c r="B24" s="10">
        <v>3.496</v>
      </c>
      <c r="C24" s="10">
        <v>3.0590000000000002</v>
      </c>
      <c r="D24" s="10">
        <v>6.1180000000000003</v>
      </c>
      <c r="E24" s="10">
        <v>1.3979999999999999</v>
      </c>
      <c r="F24" s="11">
        <v>0</v>
      </c>
      <c r="G24" s="11">
        <v>0</v>
      </c>
      <c r="H24" s="11">
        <v>0</v>
      </c>
      <c r="I24" s="12"/>
      <c r="J24" s="13"/>
      <c r="K24" s="14"/>
      <c r="L24" s="13"/>
    </row>
    <row r="25" ht="15" customHeight="1">
      <c r="A25" s="9">
        <v>46197</v>
      </c>
      <c r="B25" s="10">
        <v>4.3040000000000003</v>
      </c>
      <c r="C25" s="10">
        <v>3.766</v>
      </c>
      <c r="D25" s="10">
        <v>7.532</v>
      </c>
      <c r="E25" s="10">
        <v>1.722</v>
      </c>
      <c r="F25" s="11">
        <v>0</v>
      </c>
      <c r="G25" s="11">
        <v>0</v>
      </c>
      <c r="H25" s="11">
        <v>0</v>
      </c>
      <c r="I25" s="12"/>
      <c r="J25" s="15">
        <v>93.200000000000003</v>
      </c>
      <c r="K25" s="14"/>
      <c r="L25" s="13"/>
    </row>
    <row r="26" ht="15">
      <c r="A26" s="9">
        <v>46198</v>
      </c>
      <c r="B26" s="10">
        <v>4.7679999999999998</v>
      </c>
      <c r="C26" s="10">
        <v>4.1719999999999997</v>
      </c>
      <c r="D26" s="10">
        <v>8.3439999999999994</v>
      </c>
      <c r="E26" s="10">
        <v>1.907</v>
      </c>
      <c r="F26" s="11">
        <v>0</v>
      </c>
      <c r="G26" s="11">
        <v>0</v>
      </c>
      <c r="H26" s="11">
        <v>0</v>
      </c>
      <c r="I26" s="12"/>
      <c r="J26" s="13"/>
      <c r="K26" s="14"/>
      <c r="L26" s="13"/>
    </row>
    <row r="27" ht="15">
      <c r="A27" s="9">
        <v>46199</v>
      </c>
      <c r="B27" s="10">
        <v>4.2640000000000002</v>
      </c>
      <c r="C27" s="10">
        <v>3.7309999999999999</v>
      </c>
      <c r="D27" s="10">
        <v>7.4619999999999997</v>
      </c>
      <c r="E27" s="10">
        <v>1.706</v>
      </c>
      <c r="F27" s="11">
        <v>0</v>
      </c>
      <c r="G27" s="11">
        <v>0</v>
      </c>
      <c r="H27" s="11">
        <v>0</v>
      </c>
      <c r="I27" s="12"/>
      <c r="J27" s="13"/>
      <c r="K27" s="14"/>
      <c r="L27" s="13"/>
    </row>
    <row r="28" ht="15">
      <c r="A28" s="9">
        <v>46200</v>
      </c>
      <c r="B28" s="10">
        <v>4.1840000000000002</v>
      </c>
      <c r="C28" s="10">
        <v>3.661</v>
      </c>
      <c r="D28" s="10">
        <v>7.3220000000000001</v>
      </c>
      <c r="E28" s="10">
        <v>1.6739999999999999</v>
      </c>
      <c r="F28" s="11">
        <v>0</v>
      </c>
      <c r="G28" s="11">
        <v>0</v>
      </c>
      <c r="H28" s="11">
        <v>0</v>
      </c>
      <c r="I28" s="12"/>
      <c r="J28" s="13"/>
      <c r="K28" s="14"/>
      <c r="L28" s="13"/>
    </row>
    <row r="29" ht="15">
      <c r="A29" s="9">
        <v>46201</v>
      </c>
      <c r="B29" s="10">
        <v>4.3200000000000003</v>
      </c>
      <c r="C29" s="10">
        <v>3.7799999999999998</v>
      </c>
      <c r="D29" s="10">
        <v>7.5599999999999996</v>
      </c>
      <c r="E29" s="10">
        <v>1.728</v>
      </c>
      <c r="F29" s="11">
        <v>0</v>
      </c>
      <c r="G29" s="11">
        <v>0</v>
      </c>
      <c r="H29" s="11">
        <v>0</v>
      </c>
      <c r="I29" s="12"/>
      <c r="J29" s="13"/>
      <c r="K29" s="14"/>
      <c r="L29" s="13"/>
    </row>
    <row r="30" ht="15">
      <c r="A30" s="9">
        <v>46202</v>
      </c>
      <c r="B30" s="10">
        <v>4.6879999999999997</v>
      </c>
      <c r="C30" s="10">
        <v>4.1020000000000003</v>
      </c>
      <c r="D30" s="10">
        <v>8.2040000000000006</v>
      </c>
      <c r="E30" s="10">
        <v>1.875</v>
      </c>
      <c r="F30" s="11">
        <v>0</v>
      </c>
      <c r="G30" s="11">
        <v>0</v>
      </c>
      <c r="H30" s="11">
        <v>0</v>
      </c>
      <c r="I30" s="12"/>
      <c r="J30" s="13"/>
      <c r="K30" s="14"/>
      <c r="L30" s="13"/>
    </row>
    <row r="31" ht="15">
      <c r="A31" s="9">
        <v>46203</v>
      </c>
      <c r="B31" s="10">
        <v>3.8479999999999999</v>
      </c>
      <c r="C31" s="10">
        <v>3.367</v>
      </c>
      <c r="D31" s="10">
        <v>6.734</v>
      </c>
      <c r="E31" s="10">
        <v>1.5389999999999999</v>
      </c>
      <c r="F31" s="11">
        <v>0</v>
      </c>
      <c r="G31" s="11">
        <v>0</v>
      </c>
      <c r="H31" s="11">
        <v>0</v>
      </c>
      <c r="I31" s="12"/>
      <c r="J31" s="13"/>
      <c r="K31" s="14"/>
      <c r="L31" s="13"/>
    </row>
    <row r="32" s="7" customFormat="1" ht="15">
      <c r="B32" s="17"/>
      <c r="J32" s="2"/>
      <c r="K32" s="2"/>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row>
    <row r="33" s="2" customFormat="1" ht="15">
      <c r="L33" s="7"/>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row>
    <row r="34" s="2" customFormat="1" ht="15">
      <c r="L34" s="7"/>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row>
    <row r="35" s="2" customFormat="1" ht="15">
      <c r="L35" s="7"/>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row>
    <row r="36" s="2" customFormat="1" ht="15">
      <c r="L36" s="7"/>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row>
    <row r="37" s="2" customFormat="1" ht="15">
      <c r="L37" s="7"/>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row>
    <row r="38" s="2" customFormat="1" ht="15">
      <c r="L38" s="7"/>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row>
    <row r="39" s="2" customFormat="1" ht="15">
      <c r="L39" s="7"/>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row>
    <row r="40" s="2" customFormat="1" ht="15">
      <c r="L40" s="7"/>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row>
    <row r="41" s="2" customFormat="1" ht="15">
      <c r="L41" s="7"/>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row>
    <row r="42" s="2" customFormat="1" ht="15">
      <c r="L42" s="7"/>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row>
    <row r="43" s="2" customFormat="1" ht="15">
      <c r="L43" s="7"/>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row>
    <row r="44" s="2" customFormat="1" ht="15">
      <c r="L44" s="7"/>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row>
    <row r="45" s="2" customFormat="1" ht="15">
      <c r="L45" s="7"/>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row>
    <row r="46" s="2" customFormat="1" ht="15">
      <c r="L46" s="7"/>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row>
    <row r="47" s="2" customFormat="1" ht="15">
      <c r="L47" s="7"/>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row>
    <row r="48" s="2" customFormat="1" ht="15">
      <c r="L48" s="7"/>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row>
    <row r="49" s="2" customFormat="1" ht="15">
      <c r="L49" s="7"/>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row>
    <row r="50" s="2" customFormat="1" ht="15">
      <c r="L50" s="7"/>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row>
    <row r="51" s="2" customFormat="1" ht="15">
      <c r="L51" s="7"/>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row>
    <row r="52" s="2" customFormat="1" ht="15">
      <c r="L52" s="7"/>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row>
    <row r="53" s="2" customFormat="1" ht="15">
      <c r="L53" s="1"/>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row>
    <row r="54" s="2" customFormat="1" ht="15">
      <c r="L54" s="1"/>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row>
    <row r="55" s="2" customFormat="1" ht="15">
      <c r="L55" s="1"/>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row>
    <row r="56" s="2" customFormat="1" ht="15">
      <c r="L56" s="1"/>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row>
    <row r="57" s="2" customFormat="1" ht="15">
      <c r="L57" s="1"/>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row>
    <row r="58" s="2" customFormat="1" ht="15">
      <c r="L58" s="1"/>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row>
    <row r="59" s="2" customFormat="1" ht="15">
      <c r="L59" s="1"/>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row>
    <row r="60" s="2" customFormat="1" ht="15">
      <c r="L60" s="1"/>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row>
    <row r="61" s="2" customFormat="1" ht="15">
      <c r="L61" s="1"/>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row>
    <row r="62" s="2" customFormat="1" ht="15">
      <c r="L62" s="1"/>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row>
    <row r="63" s="2" customFormat="1" ht="15">
      <c r="L63" s="1"/>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row>
    <row r="64" s="2" customFormat="1" ht="15">
      <c r="L64" s="1"/>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row>
    <row r="65" s="2" customFormat="1" ht="15">
      <c r="L65" s="1"/>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row>
    <row r="66" s="2" customFormat="1" ht="15">
      <c r="L66" s="1"/>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row>
    <row r="1048571" ht="12.800000000000001"/>
    <row r="1048572" ht="12.800000000000001"/>
    <row r="1048573" ht="12.800000000000001"/>
    <row r="1048574" ht="12.800000000000001"/>
    <row r="1048575" ht="12.800000000000001"/>
    <row r="1048576" ht="12.800000000000001"/>
  </sheetData>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B1" zoomScale="100" workbookViewId="0">
      <selection activeCell="F33" activeCellId="0" sqref="F33"/>
    </sheetView>
  </sheetViews>
  <sheetFormatPr defaultColWidth="8.71484375" defaultRowHeight="15"/>
  <cols>
    <col customWidth="1" min="4" max="4" style="8" width="10.289999999999999"/>
  </cols>
  <sheetData>
    <row r="9" ht="24.75" customHeight="1">
      <c r="C9" s="18"/>
      <c r="D9" s="19" t="s">
        <v>12</v>
      </c>
      <c r="E9" s="19"/>
      <c r="F9" s="20" t="s">
        <v>13</v>
      </c>
      <c r="G9" s="20"/>
      <c r="H9" s="21" t="s">
        <v>14</v>
      </c>
      <c r="I9" s="21"/>
      <c r="J9" s="22" t="s">
        <v>15</v>
      </c>
      <c r="K9" s="22"/>
      <c r="L9" s="23" t="s">
        <v>16</v>
      </c>
      <c r="M9" s="23"/>
      <c r="N9" s="24"/>
      <c r="O9" s="25"/>
      <c r="P9" s="25"/>
    </row>
    <row r="10" ht="15">
      <c r="C10" s="26"/>
      <c r="D10" s="27" t="s">
        <v>17</v>
      </c>
      <c r="E10" s="28" t="s">
        <v>18</v>
      </c>
      <c r="F10" s="29" t="s">
        <v>17</v>
      </c>
      <c r="G10" s="30" t="s">
        <v>18</v>
      </c>
      <c r="H10" s="31" t="s">
        <v>17</v>
      </c>
      <c r="I10" s="32" t="s">
        <v>18</v>
      </c>
      <c r="J10" s="33" t="s">
        <v>17</v>
      </c>
      <c r="K10" s="34" t="s">
        <v>18</v>
      </c>
      <c r="L10" s="35" t="s">
        <v>17</v>
      </c>
      <c r="M10" s="36" t="s">
        <v>18</v>
      </c>
      <c r="N10" s="8"/>
      <c r="O10" s="37"/>
      <c r="P10" s="37"/>
    </row>
    <row r="11" ht="15">
      <c r="C11" s="26" t="s">
        <v>19</v>
      </c>
      <c r="D11" s="38"/>
      <c r="E11" s="39">
        <f t="shared" ref="E11:E14" si="0">D11*1.36</f>
        <v>0</v>
      </c>
      <c r="F11" s="40">
        <v>364</v>
      </c>
      <c r="G11" s="41">
        <f t="shared" ref="G11:G14" si="1">F11*1.727</f>
        <v>628.62800000000004</v>
      </c>
      <c r="H11" s="42"/>
      <c r="I11" s="43">
        <f t="shared" ref="I11:I14" si="2">H11*1.01</f>
        <v>0</v>
      </c>
      <c r="J11" s="44">
        <v>0</v>
      </c>
      <c r="K11" s="45">
        <f t="shared" ref="K11:K14" si="3">J11*1.25</f>
        <v>0</v>
      </c>
      <c r="L11" s="46">
        <v>0</v>
      </c>
      <c r="M11" s="43">
        <f t="shared" ref="M11:M14" si="4">L11*1.41</f>
        <v>0</v>
      </c>
      <c r="N11" s="47"/>
      <c r="O11" s="48"/>
      <c r="P11" s="47"/>
    </row>
    <row r="12" ht="15">
      <c r="C12" s="26" t="s">
        <v>20</v>
      </c>
      <c r="D12" s="49" t="e">
        <f>720.55-(#ref!+#ref!+#ref!)</f>
        <v>#NAME?</v>
      </c>
      <c r="E12" s="50" t="e">
        <f t="shared" si="0"/>
        <v>#NAME?</v>
      </c>
      <c r="F12" s="51" t="e">
        <f>377.67-(#ref!+#ref!+#ref!)</f>
        <v>#NAME?</v>
      </c>
      <c r="G12" s="52" t="e">
        <f t="shared" si="1"/>
        <v>#NAME?</v>
      </c>
      <c r="H12" s="53" t="e">
        <f>188.22-(#ref!+#ref!+#ref!)</f>
        <v>#NAME?</v>
      </c>
      <c r="I12" s="54" t="e">
        <f t="shared" si="2"/>
        <v>#NAME?</v>
      </c>
      <c r="J12" s="44" t="e">
        <f>3720-(#ref!+#ref!+#ref!)</f>
        <v>#NAME?</v>
      </c>
      <c r="K12" s="55" t="e">
        <f t="shared" si="3"/>
        <v>#NAME?</v>
      </c>
      <c r="L12" s="56" t="e">
        <f>847.68-(#ref!+#ref!+#ref!)</f>
        <v>#NAME?</v>
      </c>
      <c r="M12" s="57" t="e">
        <f t="shared" si="4"/>
        <v>#NAME?</v>
      </c>
      <c r="N12" s="47"/>
      <c r="O12" s="48"/>
      <c r="P12" s="47"/>
    </row>
    <row r="13" ht="15">
      <c r="C13" s="26" t="s">
        <v>21</v>
      </c>
      <c r="D13" s="49"/>
      <c r="E13" s="58">
        <f t="shared" si="0"/>
        <v>0</v>
      </c>
      <c r="F13" s="59">
        <v>539</v>
      </c>
      <c r="G13" s="60">
        <f t="shared" si="1"/>
        <v>930.85299999999995</v>
      </c>
      <c r="H13" s="61"/>
      <c r="I13" s="62"/>
      <c r="J13" s="44"/>
      <c r="K13" s="63">
        <f t="shared" si="3"/>
        <v>0</v>
      </c>
      <c r="L13" s="46">
        <v>0</v>
      </c>
      <c r="M13" s="64">
        <f t="shared" si="4"/>
        <v>0</v>
      </c>
      <c r="N13" s="47"/>
      <c r="O13" s="48"/>
      <c r="P13" s="47"/>
    </row>
    <row r="14" ht="23.300000000000001">
      <c r="C14" s="65" t="s">
        <v>22</v>
      </c>
      <c r="D14" s="66" t="e">
        <f>SUM(D11:D13)</f>
        <v>#NAME?</v>
      </c>
      <c r="E14" s="67" t="e">
        <f t="shared" si="0"/>
        <v>#NAME?</v>
      </c>
      <c r="F14" s="68" t="e">
        <f>F11+F12+F13</f>
        <v>#NAME?</v>
      </c>
      <c r="G14" s="69" t="e">
        <f t="shared" si="1"/>
        <v>#NAME?</v>
      </c>
      <c r="H14" s="70" t="e">
        <f>H11+H12</f>
        <v>#NAME?</v>
      </c>
      <c r="I14" s="71" t="e">
        <f t="shared" si="2"/>
        <v>#NAME?</v>
      </c>
      <c r="J14" s="66" t="e">
        <f>J11+J12+J13</f>
        <v>#NAME?</v>
      </c>
      <c r="K14" s="72" t="e">
        <f t="shared" si="3"/>
        <v>#NAME?</v>
      </c>
      <c r="L14" s="68" t="e">
        <f>SUM(L12:L13)</f>
        <v>#NAME?</v>
      </c>
      <c r="M14" s="69" t="e">
        <f t="shared" si="4"/>
        <v>#NAME?</v>
      </c>
      <c r="N14" s="73"/>
      <c r="O14" s="74"/>
      <c r="P14" s="73"/>
    </row>
  </sheetData>
  <mergeCells count="7">
    <mergeCell ref="D9:E9"/>
    <mergeCell ref="F9:G9"/>
    <mergeCell ref="H9:I9"/>
    <mergeCell ref="J9:K9"/>
    <mergeCell ref="L9:M9"/>
    <mergeCell ref="O9:P9"/>
    <mergeCell ref="O10:P10"/>
  </mergeCells>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40" zoomScale="100" workbookViewId="0">
      <selection activeCell="G50" activeCellId="0" sqref="G50"/>
    </sheetView>
  </sheetViews>
  <sheetFormatPr defaultColWidth="8.71484375" defaultRowHeight="15"/>
  <cols>
    <col customWidth="1" min="2" max="2" style="8" width="12.15"/>
  </cols>
  <sheetData>
    <row r="1" ht="15">
      <c r="A1" s="75" t="s">
        <v>23</v>
      </c>
      <c r="B1" s="75"/>
      <c r="C1" s="75"/>
      <c r="D1" s="75"/>
      <c r="E1" s="75"/>
      <c r="F1" s="75"/>
      <c r="G1" s="75"/>
      <c r="H1" s="75"/>
      <c r="I1" s="75"/>
      <c r="J1" s="75"/>
      <c r="K1" s="76"/>
    </row>
    <row r="2" ht="15" customHeight="1">
      <c r="A2" s="77" t="s">
        <v>24</v>
      </c>
      <c r="B2" s="78" t="s">
        <v>25</v>
      </c>
      <c r="C2" s="79" t="s">
        <v>26</v>
      </c>
      <c r="D2" s="80" t="s">
        <v>27</v>
      </c>
      <c r="E2" s="80"/>
      <c r="F2" s="75" t="s">
        <v>28</v>
      </c>
      <c r="G2" s="75"/>
      <c r="H2" s="75"/>
      <c r="I2" s="75"/>
      <c r="J2" s="81" t="s">
        <v>29</v>
      </c>
      <c r="K2" s="81"/>
    </row>
    <row r="3" ht="15">
      <c r="A3" s="77"/>
      <c r="B3" s="78"/>
      <c r="C3" s="79"/>
      <c r="D3" s="82" t="s">
        <v>30</v>
      </c>
      <c r="E3" s="82"/>
      <c r="F3" s="83" t="s">
        <v>31</v>
      </c>
      <c r="G3" s="83"/>
      <c r="H3" s="80" t="s">
        <v>32</v>
      </c>
      <c r="I3" s="80"/>
      <c r="J3" s="81"/>
      <c r="K3" s="81"/>
    </row>
    <row r="4" ht="15">
      <c r="A4" s="77"/>
      <c r="B4" s="78"/>
      <c r="C4" s="79"/>
      <c r="D4" s="84" t="s">
        <v>33</v>
      </c>
      <c r="E4" s="85" t="s">
        <v>34</v>
      </c>
      <c r="F4" s="86" t="s">
        <v>33</v>
      </c>
      <c r="G4" s="84" t="s">
        <v>34</v>
      </c>
      <c r="H4" s="84" t="s">
        <v>33</v>
      </c>
      <c r="I4" s="85" t="s">
        <v>34</v>
      </c>
      <c r="J4" s="81"/>
      <c r="K4" s="81"/>
    </row>
    <row r="5" ht="15">
      <c r="A5" s="87">
        <v>1</v>
      </c>
      <c r="B5" s="88" t="s">
        <v>35</v>
      </c>
      <c r="C5" s="89" t="s">
        <v>36</v>
      </c>
      <c r="D5" s="88"/>
      <c r="E5" s="88"/>
      <c r="F5" s="88"/>
      <c r="G5" s="88"/>
      <c r="H5" s="88"/>
      <c r="I5" s="88"/>
      <c r="J5" s="90"/>
      <c r="K5" s="88"/>
    </row>
    <row r="6" ht="15">
      <c r="A6" s="91"/>
      <c r="B6" s="92"/>
      <c r="C6" s="92"/>
      <c r="D6" s="92"/>
      <c r="E6" s="92"/>
      <c r="F6" s="92"/>
      <c r="G6" s="92"/>
      <c r="H6" s="92"/>
      <c r="I6" s="92"/>
      <c r="J6" s="93"/>
      <c r="K6" s="92"/>
    </row>
    <row r="7" ht="15">
      <c r="A7" s="87">
        <v>2</v>
      </c>
      <c r="B7" s="94" t="s">
        <v>37</v>
      </c>
      <c r="C7" s="95" t="s">
        <v>36</v>
      </c>
      <c r="D7" s="95"/>
      <c r="E7" s="94"/>
      <c r="F7" s="94"/>
      <c r="G7" s="94"/>
      <c r="H7" s="94"/>
      <c r="I7" s="94"/>
      <c r="J7" s="96"/>
      <c r="K7" s="94"/>
    </row>
    <row r="8" ht="15">
      <c r="A8" s="91"/>
      <c r="B8" s="92"/>
      <c r="C8" s="92"/>
      <c r="D8" s="97"/>
      <c r="E8" s="92"/>
      <c r="F8" s="92"/>
      <c r="G8" s="92"/>
      <c r="H8" s="92"/>
      <c r="I8" s="92"/>
      <c r="J8" s="93"/>
      <c r="K8" s="92"/>
    </row>
    <row r="9" ht="15">
      <c r="A9" s="87">
        <v>3</v>
      </c>
      <c r="B9" s="94" t="s">
        <v>38</v>
      </c>
      <c r="C9" s="89" t="s">
        <v>36</v>
      </c>
      <c r="D9" s="95"/>
      <c r="E9" s="94"/>
      <c r="F9" s="94"/>
      <c r="G9" s="94"/>
      <c r="H9" s="94"/>
      <c r="I9" s="94"/>
      <c r="J9" s="96"/>
      <c r="K9" s="94"/>
    </row>
    <row r="10" ht="15">
      <c r="A10" s="91"/>
      <c r="B10" s="92"/>
      <c r="C10" s="92"/>
      <c r="D10" s="97"/>
      <c r="E10" s="92"/>
      <c r="F10" s="92"/>
      <c r="G10" s="92"/>
      <c r="H10" s="92"/>
      <c r="I10" s="92"/>
      <c r="J10" s="93"/>
      <c r="K10" s="92"/>
    </row>
    <row r="11" ht="15">
      <c r="A11" s="87">
        <v>4</v>
      </c>
      <c r="B11" s="94" t="s">
        <v>39</v>
      </c>
      <c r="C11" s="95" t="s">
        <v>36</v>
      </c>
      <c r="D11" s="95"/>
      <c r="E11" s="94"/>
      <c r="F11" s="94"/>
      <c r="G11" s="94"/>
      <c r="H11" s="94"/>
      <c r="I11" s="94"/>
      <c r="J11" s="96"/>
      <c r="K11" s="94"/>
    </row>
    <row r="12" ht="15">
      <c r="A12" s="91"/>
      <c r="B12" s="92"/>
      <c r="C12" s="92"/>
      <c r="D12" s="97"/>
      <c r="E12" s="92"/>
      <c r="F12" s="92"/>
      <c r="G12" s="92"/>
      <c r="H12" s="92"/>
      <c r="I12" s="92"/>
      <c r="J12" s="93"/>
      <c r="K12" s="92"/>
    </row>
    <row r="13" ht="15">
      <c r="A13" s="87">
        <v>5</v>
      </c>
      <c r="B13" s="94" t="s">
        <v>40</v>
      </c>
      <c r="C13" s="89" t="s">
        <v>36</v>
      </c>
      <c r="D13" s="95"/>
      <c r="E13" s="94"/>
      <c r="F13" s="94"/>
      <c r="G13" s="94"/>
      <c r="H13" s="94"/>
      <c r="I13" s="94"/>
      <c r="J13" s="96"/>
      <c r="K13" s="94"/>
    </row>
    <row r="14" ht="15">
      <c r="A14" s="91"/>
      <c r="B14" s="92"/>
      <c r="C14" s="92"/>
      <c r="D14" s="97"/>
      <c r="E14" s="92"/>
      <c r="F14" s="92"/>
      <c r="G14" s="92"/>
      <c r="H14" s="92"/>
      <c r="I14" s="92"/>
      <c r="J14" s="93"/>
      <c r="K14" s="92"/>
    </row>
    <row r="15" ht="15">
      <c r="A15" s="87">
        <v>6</v>
      </c>
      <c r="B15" s="94" t="s">
        <v>41</v>
      </c>
      <c r="C15" s="95" t="s">
        <v>36</v>
      </c>
      <c r="D15" s="95"/>
      <c r="E15" s="94"/>
      <c r="F15" s="94"/>
      <c r="G15" s="94"/>
      <c r="H15" s="94"/>
      <c r="I15" s="94"/>
      <c r="J15" s="96"/>
      <c r="K15" s="94"/>
    </row>
    <row r="16" ht="15">
      <c r="A16" s="91"/>
      <c r="B16" s="92"/>
      <c r="C16" s="92"/>
      <c r="D16" s="97"/>
      <c r="E16" s="92"/>
      <c r="F16" s="92"/>
      <c r="G16" s="92"/>
      <c r="H16" s="92"/>
      <c r="I16" s="92"/>
      <c r="J16" s="93"/>
      <c r="K16" s="92"/>
    </row>
    <row r="17" ht="15">
      <c r="A17" s="87">
        <v>7</v>
      </c>
      <c r="B17" s="94" t="s">
        <v>42</v>
      </c>
      <c r="C17" s="89" t="s">
        <v>36</v>
      </c>
      <c r="D17" s="95"/>
      <c r="E17" s="94"/>
      <c r="F17" s="94"/>
      <c r="G17" s="94"/>
      <c r="H17" s="94"/>
      <c r="I17" s="94"/>
      <c r="J17" s="96"/>
      <c r="K17" s="94"/>
    </row>
    <row r="18" ht="15">
      <c r="A18" s="91"/>
      <c r="B18" s="92"/>
      <c r="C18" s="92"/>
      <c r="D18" s="97"/>
      <c r="E18" s="92"/>
      <c r="F18" s="92"/>
      <c r="G18" s="92"/>
      <c r="H18" s="92"/>
      <c r="I18" s="92"/>
      <c r="J18" s="93"/>
      <c r="K18" s="92"/>
    </row>
    <row r="19" ht="15">
      <c r="A19" s="87">
        <v>8</v>
      </c>
      <c r="B19" s="94" t="s">
        <v>43</v>
      </c>
      <c r="C19" s="95" t="s">
        <v>36</v>
      </c>
      <c r="D19" s="95"/>
      <c r="E19" s="94"/>
      <c r="F19" s="94"/>
      <c r="G19" s="94"/>
      <c r="H19" s="94"/>
      <c r="I19" s="94"/>
      <c r="J19" s="96"/>
      <c r="K19" s="94"/>
    </row>
    <row r="20" ht="15">
      <c r="A20" s="91"/>
      <c r="B20" s="92"/>
      <c r="C20" s="92"/>
      <c r="D20" s="97"/>
      <c r="E20" s="92"/>
      <c r="F20" s="92"/>
      <c r="G20" s="92"/>
      <c r="H20" s="92"/>
      <c r="I20" s="92"/>
      <c r="J20" s="93"/>
      <c r="K20" s="92"/>
    </row>
    <row r="21" ht="15">
      <c r="A21" s="87">
        <v>9</v>
      </c>
      <c r="B21" s="94" t="s">
        <v>44</v>
      </c>
      <c r="C21" s="89" t="s">
        <v>36</v>
      </c>
      <c r="D21" s="95"/>
      <c r="E21" s="94"/>
      <c r="F21" s="94"/>
      <c r="G21" s="94"/>
      <c r="H21" s="94"/>
      <c r="I21" s="94"/>
      <c r="J21" s="96"/>
      <c r="K21" s="94"/>
    </row>
    <row r="22" ht="15">
      <c r="A22" s="91"/>
      <c r="B22" s="92"/>
      <c r="C22" s="92"/>
      <c r="D22" s="97"/>
      <c r="E22" s="92"/>
      <c r="F22" s="92"/>
      <c r="G22" s="92"/>
      <c r="H22" s="92"/>
      <c r="I22" s="92"/>
      <c r="J22" s="93"/>
      <c r="K22" s="92"/>
    </row>
    <row r="23" ht="15">
      <c r="A23" s="87">
        <v>10</v>
      </c>
      <c r="B23" s="94" t="s">
        <v>45</v>
      </c>
      <c r="C23" s="95" t="s">
        <v>36</v>
      </c>
      <c r="D23" s="95"/>
      <c r="E23" s="94"/>
      <c r="F23" s="94"/>
      <c r="G23" s="94"/>
      <c r="H23" s="94"/>
      <c r="I23" s="94"/>
      <c r="J23" s="96"/>
      <c r="K23" s="94"/>
    </row>
    <row r="24" ht="15">
      <c r="A24" s="91"/>
      <c r="B24" s="92"/>
      <c r="C24" s="92"/>
      <c r="D24" s="97"/>
      <c r="E24" s="92"/>
      <c r="F24" s="92"/>
      <c r="G24" s="92"/>
      <c r="H24" s="92"/>
      <c r="I24" s="92"/>
      <c r="J24" s="93"/>
      <c r="K24" s="92"/>
    </row>
    <row r="25" ht="15">
      <c r="A25" s="87">
        <v>11</v>
      </c>
      <c r="B25" s="94" t="s">
        <v>46</v>
      </c>
      <c r="C25" s="89" t="s">
        <v>36</v>
      </c>
      <c r="D25" s="95"/>
      <c r="E25" s="94"/>
      <c r="F25" s="94"/>
      <c r="G25" s="94"/>
      <c r="H25" s="94"/>
      <c r="I25" s="94"/>
      <c r="J25" s="96"/>
      <c r="K25" s="94"/>
    </row>
    <row r="26" ht="15">
      <c r="A26" s="91"/>
      <c r="B26" s="92"/>
      <c r="C26" s="92"/>
      <c r="D26" s="97"/>
      <c r="E26" s="92"/>
      <c r="F26" s="92"/>
      <c r="G26" s="92"/>
      <c r="H26" s="92"/>
      <c r="I26" s="98">
        <f>H26*1.314</f>
        <v>0</v>
      </c>
      <c r="J26" s="93"/>
      <c r="K26" s="92"/>
    </row>
    <row r="27" ht="15">
      <c r="A27" s="87">
        <v>12</v>
      </c>
      <c r="B27" s="94" t="s">
        <v>47</v>
      </c>
      <c r="C27" s="95" t="s">
        <v>36</v>
      </c>
      <c r="D27" s="99"/>
      <c r="E27" s="100">
        <f>D27*1.314</f>
        <v>0</v>
      </c>
      <c r="F27" s="94"/>
      <c r="G27" s="94"/>
      <c r="H27" s="94"/>
      <c r="I27" s="94"/>
      <c r="J27" s="96"/>
      <c r="K27" s="94"/>
    </row>
    <row r="28" ht="15">
      <c r="A28" s="91"/>
      <c r="B28" s="92"/>
      <c r="C28" s="92"/>
      <c r="D28" s="97"/>
      <c r="E28" s="92"/>
      <c r="F28" s="92"/>
      <c r="G28" s="98">
        <f>F28*1.314</f>
        <v>0</v>
      </c>
      <c r="H28" s="92">
        <f>H26+F28</f>
        <v>0</v>
      </c>
      <c r="I28" s="98">
        <f>H28*1.314</f>
        <v>0</v>
      </c>
      <c r="J28" s="93"/>
      <c r="K28" s="92"/>
    </row>
    <row r="29" ht="15">
      <c r="A29" s="87">
        <v>13</v>
      </c>
      <c r="B29" s="94" t="s">
        <v>48</v>
      </c>
      <c r="C29" s="89" t="s">
        <v>36</v>
      </c>
      <c r="D29" s="99"/>
      <c r="E29" s="100">
        <f>D29*1.314</f>
        <v>0</v>
      </c>
      <c r="F29" s="94"/>
      <c r="G29" s="94"/>
      <c r="H29" s="94"/>
      <c r="I29" s="94"/>
      <c r="J29" s="96"/>
      <c r="K29" s="94"/>
    </row>
    <row r="30" ht="15">
      <c r="A30" s="91"/>
      <c r="B30" s="92"/>
      <c r="C30" s="92"/>
      <c r="D30" s="101"/>
      <c r="E30" s="92"/>
      <c r="F30" s="92"/>
      <c r="G30" s="98">
        <f>F30*1.314</f>
        <v>0</v>
      </c>
      <c r="H30" s="92">
        <f>H28+F30</f>
        <v>0</v>
      </c>
      <c r="I30" s="98">
        <f>H30*1.314</f>
        <v>0</v>
      </c>
      <c r="J30" s="93"/>
      <c r="K30" s="92"/>
    </row>
    <row r="31" ht="15">
      <c r="A31" s="87">
        <v>14</v>
      </c>
      <c r="B31" s="94" t="s">
        <v>49</v>
      </c>
      <c r="C31" s="95" t="s">
        <v>36</v>
      </c>
      <c r="D31" s="99"/>
      <c r="E31" s="100">
        <f>D31*1.314</f>
        <v>0</v>
      </c>
      <c r="F31" s="94"/>
      <c r="G31" s="94"/>
      <c r="H31" s="94"/>
      <c r="I31" s="94"/>
      <c r="J31" s="96"/>
      <c r="K31" s="94"/>
    </row>
    <row r="32" ht="15">
      <c r="A32" s="91"/>
      <c r="B32" s="92"/>
      <c r="C32" s="92"/>
      <c r="D32" s="101"/>
      <c r="E32" s="92"/>
      <c r="F32" s="92"/>
      <c r="G32" s="98">
        <f>F32*1.314</f>
        <v>0</v>
      </c>
      <c r="H32" s="92">
        <f>H30+F32</f>
        <v>0</v>
      </c>
      <c r="I32" s="98">
        <f>H32*1.314</f>
        <v>0</v>
      </c>
      <c r="J32" s="93"/>
      <c r="K32" s="92"/>
    </row>
    <row r="33" ht="15">
      <c r="A33" s="87">
        <v>15</v>
      </c>
      <c r="B33" s="94" t="s">
        <v>50</v>
      </c>
      <c r="C33" s="89" t="s">
        <v>36</v>
      </c>
      <c r="D33" s="99"/>
      <c r="E33" s="100">
        <f>D33*1.314</f>
        <v>0</v>
      </c>
      <c r="F33" s="94"/>
      <c r="G33" s="94"/>
      <c r="H33" s="94"/>
      <c r="I33" s="94"/>
      <c r="J33" s="96"/>
      <c r="K33" s="94"/>
    </row>
    <row r="34" ht="15">
      <c r="A34" s="91"/>
      <c r="B34" s="92"/>
      <c r="C34" s="92"/>
      <c r="D34" s="101"/>
      <c r="E34" s="92"/>
      <c r="F34" s="98"/>
      <c r="G34" s="98">
        <f>F34*1.314</f>
        <v>0</v>
      </c>
      <c r="H34" s="92">
        <f>H32+F34</f>
        <v>0</v>
      </c>
      <c r="I34" s="98">
        <f>H34*1.314</f>
        <v>0</v>
      </c>
      <c r="J34" s="93"/>
      <c r="K34" s="92"/>
    </row>
    <row r="35" ht="15">
      <c r="A35" s="87">
        <v>16</v>
      </c>
      <c r="B35" s="94" t="s">
        <v>51</v>
      </c>
      <c r="C35" s="95" t="s">
        <v>36</v>
      </c>
      <c r="D35" s="99"/>
      <c r="E35" s="100">
        <f>D35*1.314</f>
        <v>0</v>
      </c>
      <c r="F35" s="94"/>
      <c r="G35" s="94"/>
      <c r="H35" s="94"/>
      <c r="I35" s="94"/>
      <c r="J35" s="96"/>
      <c r="K35" s="94"/>
    </row>
    <row r="36" ht="15">
      <c r="A36" s="91"/>
      <c r="B36" s="92"/>
      <c r="C36" s="92"/>
      <c r="D36" s="101"/>
      <c r="E36" s="92"/>
      <c r="F36" s="102">
        <v>5.6699999999999999</v>
      </c>
      <c r="G36" s="102">
        <f>F36*1.314</f>
        <v>7.45038</v>
      </c>
      <c r="H36" s="103">
        <v>83.920000000000002</v>
      </c>
      <c r="I36" s="102">
        <f>H36*1.314</f>
        <v>110.27088000000001</v>
      </c>
      <c r="J36" s="93"/>
      <c r="K36" s="92"/>
    </row>
    <row r="37" ht="15">
      <c r="A37" s="87">
        <v>17</v>
      </c>
      <c r="B37" s="94" t="s">
        <v>52</v>
      </c>
      <c r="C37" s="89" t="s">
        <v>36</v>
      </c>
      <c r="D37" s="104">
        <v>69.010000000000005</v>
      </c>
      <c r="E37" s="105">
        <f>D37*1.314</f>
        <v>90.679140000000004</v>
      </c>
      <c r="F37" s="94"/>
      <c r="G37" s="94"/>
      <c r="H37" s="94"/>
      <c r="I37" s="94"/>
      <c r="J37" s="96"/>
      <c r="K37" s="94"/>
      <c r="L37" s="8" t="s">
        <v>53</v>
      </c>
    </row>
    <row r="38" ht="15">
      <c r="A38" s="91"/>
      <c r="B38" s="92"/>
      <c r="C38" s="92"/>
      <c r="D38" s="101"/>
      <c r="E38" s="92"/>
      <c r="F38" s="103">
        <v>5.79</v>
      </c>
      <c r="G38" s="102">
        <f>F38*1.314</f>
        <v>7.60806</v>
      </c>
      <c r="H38" s="103">
        <f>H36+F38</f>
        <v>89.709999999999994</v>
      </c>
      <c r="I38" s="102">
        <f>H38*1.314</f>
        <v>117.87894</v>
      </c>
      <c r="J38" s="93"/>
      <c r="K38" s="92"/>
    </row>
    <row r="39" ht="15">
      <c r="A39" s="87">
        <v>18</v>
      </c>
      <c r="B39" s="94" t="s">
        <v>54</v>
      </c>
      <c r="C39" s="95" t="s">
        <v>36</v>
      </c>
      <c r="D39" s="104">
        <v>63.219999999999999</v>
      </c>
      <c r="E39" s="105">
        <v>83.069999999999993</v>
      </c>
      <c r="F39" s="94"/>
      <c r="G39" s="94"/>
      <c r="H39" s="94"/>
      <c r="I39" s="94"/>
      <c r="J39" s="96"/>
      <c r="K39" s="94"/>
      <c r="L39" s="8" t="s">
        <v>55</v>
      </c>
    </row>
    <row r="40" ht="15">
      <c r="A40" s="91"/>
      <c r="B40" s="92"/>
      <c r="C40" s="92"/>
      <c r="D40" s="101"/>
      <c r="E40" s="92"/>
      <c r="F40" s="92">
        <v>5.8799999999999999</v>
      </c>
      <c r="G40" s="98">
        <v>7.75</v>
      </c>
      <c r="H40" s="92">
        <f>H38+F40</f>
        <v>95.590000000000003</v>
      </c>
      <c r="I40" s="98">
        <f>H40*1.314</f>
        <v>125.60526</v>
      </c>
      <c r="J40" s="93"/>
      <c r="K40" s="92"/>
    </row>
    <row r="41" ht="15">
      <c r="A41" s="87">
        <v>19</v>
      </c>
      <c r="B41" s="94" t="s">
        <v>56</v>
      </c>
      <c r="C41" s="89" t="s">
        <v>36</v>
      </c>
      <c r="D41" s="104">
        <v>57.340000000000003</v>
      </c>
      <c r="E41" s="105">
        <v>75.319999999999993</v>
      </c>
      <c r="F41" s="94"/>
      <c r="G41" s="94"/>
      <c r="H41" s="94"/>
      <c r="I41" s="94"/>
      <c r="J41" s="96"/>
      <c r="K41" s="94"/>
      <c r="L41" s="8" t="s">
        <v>57</v>
      </c>
    </row>
    <row r="42" ht="15">
      <c r="A42" s="91"/>
      <c r="B42" s="92"/>
      <c r="C42" s="92"/>
      <c r="D42" s="101"/>
      <c r="E42" s="92"/>
      <c r="F42" s="92">
        <v>5.5099999999999998</v>
      </c>
      <c r="G42" s="98">
        <f>F42*1.314</f>
        <v>7.2401400000000002</v>
      </c>
      <c r="H42" s="92">
        <f>H40+F42</f>
        <v>101.09999999999999</v>
      </c>
      <c r="I42" s="98">
        <f>H42*1.314</f>
        <v>132.84540000000001</v>
      </c>
      <c r="J42" s="93"/>
      <c r="K42" s="92"/>
    </row>
    <row r="43" ht="15">
      <c r="A43" s="87">
        <v>20</v>
      </c>
      <c r="B43" s="94" t="s">
        <v>58</v>
      </c>
      <c r="C43" s="95" t="s">
        <v>36</v>
      </c>
      <c r="D43" s="104">
        <v>51.810000000000002</v>
      </c>
      <c r="E43" s="105">
        <f>D43*1.314</f>
        <v>68.078339999999997</v>
      </c>
      <c r="F43" s="94"/>
      <c r="G43" s="94"/>
      <c r="H43" s="94"/>
      <c r="I43" s="94"/>
      <c r="J43" s="96"/>
      <c r="K43" s="94"/>
      <c r="L43" s="8" t="s">
        <v>59</v>
      </c>
    </row>
    <row r="44" ht="15">
      <c r="A44" s="91"/>
      <c r="B44" s="92"/>
      <c r="C44" s="92"/>
      <c r="D44" s="101"/>
      <c r="E44" s="92"/>
      <c r="F44" s="92">
        <v>5.4400000000000004</v>
      </c>
      <c r="G44" s="98">
        <f>F44*1.314</f>
        <v>7.1481599999999998</v>
      </c>
      <c r="H44" s="92">
        <f>H42+F44</f>
        <v>106.54000000000001</v>
      </c>
      <c r="I44" s="98">
        <f>H44*1.314</f>
        <v>139.99356</v>
      </c>
      <c r="J44" s="93"/>
      <c r="K44" s="92"/>
    </row>
    <row r="45" ht="15">
      <c r="A45" s="87">
        <v>21</v>
      </c>
      <c r="B45" s="94" t="s">
        <v>60</v>
      </c>
      <c r="C45" s="89" t="s">
        <v>36</v>
      </c>
      <c r="D45" s="104">
        <v>46.390000000000001</v>
      </c>
      <c r="E45" s="105">
        <f>D45*1.314</f>
        <v>60.95646</v>
      </c>
      <c r="F45" s="94"/>
      <c r="G45" s="94"/>
      <c r="H45" s="94"/>
      <c r="I45" s="94"/>
      <c r="J45" s="96"/>
      <c r="K45" s="94"/>
      <c r="L45" s="8" t="s">
        <v>53</v>
      </c>
    </row>
    <row r="46" ht="15">
      <c r="A46" s="91"/>
      <c r="B46" s="92"/>
      <c r="C46" s="92"/>
      <c r="D46" s="101"/>
      <c r="E46" s="92"/>
      <c r="F46" s="98">
        <v>5.4260000000000002</v>
      </c>
      <c r="G46" s="98">
        <f>F46*1.314</f>
        <v>7.1297639999999998</v>
      </c>
      <c r="H46" s="92">
        <f>H44+F46</f>
        <v>111.96599999999999</v>
      </c>
      <c r="I46" s="98">
        <f>H46*1.314</f>
        <v>147.123324</v>
      </c>
      <c r="J46" s="93"/>
      <c r="K46" s="92"/>
    </row>
    <row r="47" ht="15">
      <c r="A47" s="87">
        <v>22</v>
      </c>
      <c r="B47" s="94" t="s">
        <v>61</v>
      </c>
      <c r="C47" s="95" t="s">
        <v>36</v>
      </c>
      <c r="D47" s="104">
        <v>40.960000000000001</v>
      </c>
      <c r="E47" s="105">
        <f>D47*1.314</f>
        <v>53.821440000000003</v>
      </c>
      <c r="F47" s="94"/>
      <c r="G47" s="94"/>
      <c r="H47" s="94"/>
      <c r="I47" s="94"/>
      <c r="J47" s="96"/>
      <c r="K47" s="94"/>
      <c r="L47" s="8" t="s">
        <v>55</v>
      </c>
    </row>
    <row r="48" ht="15">
      <c r="A48" s="91"/>
      <c r="B48" s="92"/>
      <c r="C48" s="92"/>
      <c r="D48" s="101"/>
      <c r="E48" s="92"/>
      <c r="F48" s="92">
        <v>5.3700000000000001</v>
      </c>
      <c r="G48" s="98">
        <f>F48*1.314</f>
        <v>7.0561800000000003</v>
      </c>
      <c r="H48" s="92">
        <f>H46+F48</f>
        <v>117.336</v>
      </c>
      <c r="I48" s="98">
        <f>H48*1.314</f>
        <v>154.17950400000001</v>
      </c>
      <c r="J48" s="93"/>
      <c r="K48" s="92"/>
    </row>
    <row r="49" ht="15">
      <c r="A49" s="87">
        <v>23</v>
      </c>
      <c r="B49" s="94" t="s">
        <v>62</v>
      </c>
      <c r="C49" s="89" t="s">
        <v>36</v>
      </c>
      <c r="D49" s="99">
        <v>35.590000000000003</v>
      </c>
      <c r="E49" s="100">
        <f>D49*1.314</f>
        <v>46.765259999999998</v>
      </c>
      <c r="F49" s="94"/>
      <c r="G49" s="94"/>
      <c r="H49" s="94"/>
      <c r="I49" s="94"/>
      <c r="J49" s="96"/>
      <c r="K49" s="94"/>
      <c r="L49" s="8" t="s">
        <v>57</v>
      </c>
    </row>
    <row r="50" ht="15">
      <c r="A50" s="91"/>
      <c r="B50" s="92"/>
      <c r="C50" s="92"/>
      <c r="D50" s="101"/>
      <c r="E50" s="92"/>
      <c r="F50" s="92">
        <v>5.0999999999999996</v>
      </c>
      <c r="G50" s="98">
        <f>F50*1.314</f>
        <v>6.7013999999999996</v>
      </c>
      <c r="H50" s="92">
        <f>H48+F50</f>
        <v>122.43600000000001</v>
      </c>
      <c r="I50" s="98">
        <f>H50*1.314</f>
        <v>160.88090399999999</v>
      </c>
      <c r="J50" s="93"/>
      <c r="K50" s="92"/>
    </row>
    <row r="51" ht="15">
      <c r="A51" s="87">
        <v>24</v>
      </c>
      <c r="B51" s="94" t="s">
        <v>63</v>
      </c>
      <c r="C51" s="95" t="s">
        <v>36</v>
      </c>
      <c r="D51" s="99">
        <v>30.489999999999998</v>
      </c>
      <c r="E51" s="100">
        <f>D51*1.314</f>
        <v>40.063859999999998</v>
      </c>
      <c r="F51" s="94"/>
      <c r="G51" s="94"/>
      <c r="H51" s="94"/>
      <c r="I51" s="94"/>
      <c r="J51" s="96"/>
      <c r="K51" s="94"/>
      <c r="L51" s="8" t="s">
        <v>59</v>
      </c>
    </row>
    <row r="52" ht="15">
      <c r="A52" s="91"/>
      <c r="B52" s="92"/>
      <c r="C52" s="92"/>
      <c r="D52" s="101"/>
      <c r="E52" s="92"/>
      <c r="F52" s="92">
        <v>5.2300000000000004</v>
      </c>
      <c r="G52" s="98">
        <f>F52*1.314</f>
        <v>6.8722200000000004</v>
      </c>
      <c r="H52" s="92">
        <f>H50+F52</f>
        <v>127.666</v>
      </c>
      <c r="I52" s="98">
        <f>H52*1.314</f>
        <v>167.75312400000001</v>
      </c>
      <c r="J52" s="93"/>
      <c r="K52" s="92"/>
    </row>
    <row r="53" ht="15">
      <c r="A53" s="87">
        <v>25</v>
      </c>
      <c r="B53" s="94" t="s">
        <v>64</v>
      </c>
      <c r="C53" s="89" t="s">
        <v>36</v>
      </c>
      <c r="D53" s="104">
        <v>25.260000000000002</v>
      </c>
      <c r="E53" s="105">
        <f>D53*1.314</f>
        <v>33.19164</v>
      </c>
      <c r="F53" s="94"/>
      <c r="G53" s="94"/>
      <c r="H53" s="94"/>
      <c r="I53" s="94"/>
      <c r="J53" s="96"/>
      <c r="K53" s="94"/>
      <c r="L53" s="8" t="s">
        <v>53</v>
      </c>
    </row>
    <row r="54" ht="15">
      <c r="A54" s="91"/>
      <c r="B54" s="92"/>
      <c r="C54" s="92"/>
      <c r="D54" s="101"/>
      <c r="E54" s="92"/>
      <c r="F54" s="92">
        <v>5.5599999999999996</v>
      </c>
      <c r="G54" s="98">
        <f>F54*1.314</f>
        <v>7.3058399999999999</v>
      </c>
      <c r="H54" s="92">
        <f>H52+F54</f>
        <v>133.226</v>
      </c>
      <c r="I54" s="98">
        <f>H54*1.314</f>
        <v>175.058964</v>
      </c>
      <c r="J54" s="93"/>
      <c r="K54" s="92"/>
    </row>
    <row r="55" ht="15">
      <c r="A55" s="87">
        <v>26</v>
      </c>
      <c r="B55" s="94" t="s">
        <v>65</v>
      </c>
      <c r="C55" s="95" t="s">
        <v>36</v>
      </c>
      <c r="D55" s="99">
        <v>139.69999999999999</v>
      </c>
      <c r="E55" s="100">
        <f>D55*1.314</f>
        <v>183.5658</v>
      </c>
      <c r="F55" s="94"/>
      <c r="G55" s="94"/>
      <c r="H55" s="94"/>
      <c r="I55" s="94"/>
      <c r="J55" s="96" t="s">
        <v>66</v>
      </c>
      <c r="K55" s="94"/>
      <c r="L55" s="8" t="s">
        <v>55</v>
      </c>
    </row>
    <row r="56" ht="15">
      <c r="A56" s="91"/>
      <c r="B56" s="92"/>
      <c r="C56" s="92"/>
      <c r="D56" s="101"/>
      <c r="E56" s="92"/>
      <c r="F56" s="92"/>
      <c r="G56" s="98">
        <f>F56*1.314</f>
        <v>0</v>
      </c>
      <c r="H56" s="92">
        <f>H54+F56</f>
        <v>133.226</v>
      </c>
      <c r="I56" s="98">
        <f>H56*1.314</f>
        <v>175.058964</v>
      </c>
      <c r="J56" s="93"/>
      <c r="K56" s="92"/>
    </row>
    <row r="57" ht="15">
      <c r="A57" s="87">
        <v>27</v>
      </c>
      <c r="B57" s="94" t="s">
        <v>67</v>
      </c>
      <c r="C57" s="89" t="s">
        <v>36</v>
      </c>
      <c r="D57" s="99"/>
      <c r="E57" s="100">
        <f>D57*1.314</f>
        <v>0</v>
      </c>
      <c r="F57" s="94"/>
      <c r="G57" s="94"/>
      <c r="H57" s="94"/>
      <c r="I57" s="94"/>
      <c r="J57" s="96"/>
      <c r="K57" s="94"/>
    </row>
    <row r="58" ht="15">
      <c r="A58" s="91"/>
      <c r="B58" s="92"/>
      <c r="C58" s="92"/>
      <c r="D58" s="101"/>
      <c r="E58" s="92"/>
      <c r="F58" s="92"/>
      <c r="G58" s="98">
        <f>F58*1.314</f>
        <v>0</v>
      </c>
      <c r="H58" s="92">
        <f>H56+F58</f>
        <v>133.226</v>
      </c>
      <c r="I58" s="98">
        <f>H58*1.314</f>
        <v>175.058964</v>
      </c>
      <c r="J58" s="93"/>
      <c r="K58" s="92"/>
    </row>
    <row r="59" ht="15">
      <c r="A59" s="87">
        <v>28</v>
      </c>
      <c r="B59" s="94" t="s">
        <v>68</v>
      </c>
      <c r="C59" s="95" t="s">
        <v>36</v>
      </c>
      <c r="D59" s="99"/>
      <c r="E59" s="100">
        <f>D59*1.314</f>
        <v>0</v>
      </c>
      <c r="F59" s="94"/>
      <c r="G59" s="94"/>
      <c r="H59" s="94"/>
      <c r="I59" s="94"/>
      <c r="J59" s="96"/>
      <c r="K59" s="94"/>
    </row>
    <row r="60" ht="15">
      <c r="A60" s="91"/>
      <c r="B60" s="92"/>
      <c r="C60" s="92"/>
      <c r="D60" s="101"/>
      <c r="E60" s="92"/>
      <c r="F60" s="92"/>
      <c r="G60" s="98">
        <f>F60*1.314</f>
        <v>0</v>
      </c>
      <c r="H60" s="92">
        <f>H58+F60</f>
        <v>133.226</v>
      </c>
      <c r="I60" s="98">
        <f>H60*1.314</f>
        <v>175.058964</v>
      </c>
      <c r="J60" s="93"/>
      <c r="K60" s="92"/>
    </row>
    <row r="61" ht="15">
      <c r="A61" s="87">
        <v>29</v>
      </c>
      <c r="B61" s="94" t="s">
        <v>69</v>
      </c>
      <c r="C61" s="89" t="s">
        <v>36</v>
      </c>
      <c r="D61" s="99"/>
      <c r="E61" s="100">
        <f>D61*1.314</f>
        <v>0</v>
      </c>
      <c r="F61" s="94"/>
      <c r="G61" s="94"/>
      <c r="H61" s="94"/>
      <c r="I61" s="94"/>
      <c r="J61" s="96"/>
      <c r="K61" s="94"/>
    </row>
    <row r="62" ht="15">
      <c r="A62" s="91"/>
      <c r="B62" s="92"/>
      <c r="C62" s="92"/>
      <c r="D62" s="101"/>
      <c r="E62" s="92"/>
      <c r="F62" s="92"/>
      <c r="G62" s="98">
        <f>F62*1.314</f>
        <v>0</v>
      </c>
      <c r="H62" s="92">
        <f>H60+F62</f>
        <v>133.226</v>
      </c>
      <c r="I62" s="98">
        <f>H62*1.314</f>
        <v>175.058964</v>
      </c>
      <c r="J62" s="93"/>
      <c r="K62" s="92"/>
    </row>
    <row r="63" ht="15">
      <c r="A63" s="87">
        <v>30</v>
      </c>
      <c r="B63" s="94" t="s">
        <v>70</v>
      </c>
      <c r="C63" s="95" t="s">
        <v>36</v>
      </c>
      <c r="D63" s="99"/>
      <c r="E63" s="100">
        <f>D63*1.314</f>
        <v>0</v>
      </c>
      <c r="F63" s="94"/>
      <c r="G63" s="94"/>
      <c r="H63" s="94"/>
      <c r="I63" s="94"/>
      <c r="J63" s="96"/>
      <c r="K63" s="94"/>
    </row>
    <row r="64" ht="15">
      <c r="A64" s="91"/>
      <c r="B64" s="92"/>
      <c r="C64" s="92"/>
      <c r="D64" s="101"/>
      <c r="E64" s="92"/>
      <c r="F64" s="92"/>
      <c r="G64" s="98">
        <f>F64*1.314</f>
        <v>0</v>
      </c>
      <c r="H64" s="92">
        <f>H62+F64</f>
        <v>133.226</v>
      </c>
      <c r="I64" s="98">
        <f>H64*1.314</f>
        <v>175.058964</v>
      </c>
      <c r="J64" s="93"/>
      <c r="K64" s="92"/>
    </row>
    <row r="65" ht="15">
      <c r="A65" s="87">
        <v>31</v>
      </c>
      <c r="B65" s="94" t="s">
        <v>71</v>
      </c>
      <c r="C65" s="89" t="s">
        <v>36</v>
      </c>
      <c r="D65" s="99"/>
      <c r="E65" s="100">
        <f>D65*1.314</f>
        <v>0</v>
      </c>
      <c r="F65" s="94"/>
      <c r="G65" s="94"/>
      <c r="H65" s="94"/>
      <c r="I65" s="94"/>
      <c r="J65" s="96"/>
      <c r="K65" s="94"/>
    </row>
    <row r="66" ht="15">
      <c r="A66" s="106"/>
      <c r="B66" s="92"/>
      <c r="C66" s="92"/>
      <c r="D66" s="101"/>
      <c r="E66" s="92"/>
      <c r="F66" s="92"/>
      <c r="G66" s="98">
        <f>F66*1.314</f>
        <v>0</v>
      </c>
      <c r="H66" s="92">
        <f>H64+F66</f>
        <v>133.226</v>
      </c>
      <c r="I66" s="98">
        <f>H66*1.314</f>
        <v>175.058964</v>
      </c>
      <c r="J66" s="93"/>
      <c r="K66" s="92"/>
    </row>
  </sheetData>
  <mergeCells count="10">
    <mergeCell ref="A1:J1"/>
    <mergeCell ref="A2:A4"/>
    <mergeCell ref="B2:B4"/>
    <mergeCell ref="C2:C4"/>
    <mergeCell ref="D2:E2"/>
    <mergeCell ref="F2:I2"/>
    <mergeCell ref="J2:K4"/>
    <mergeCell ref="D3:E3"/>
    <mergeCell ref="F3:G3"/>
    <mergeCell ref="H3:I3"/>
  </mergeCells>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N58" activeCellId="0" sqref="N58"/>
    </sheetView>
  </sheetViews>
  <sheetFormatPr defaultColWidth="8.71484375" defaultRowHeight="15"/>
  <cols>
    <col customWidth="1" min="2" max="2" style="8" width="12"/>
  </cols>
  <sheetData>
    <row r="1" ht="15">
      <c r="A1" s="107" t="s">
        <v>72</v>
      </c>
      <c r="B1" s="107"/>
      <c r="C1" s="107"/>
      <c r="D1" s="107"/>
      <c r="E1" s="107"/>
      <c r="F1" s="107"/>
      <c r="G1" s="107"/>
      <c r="H1" s="107"/>
      <c r="I1" s="107"/>
      <c r="J1" s="107"/>
      <c r="K1" s="8"/>
    </row>
    <row r="2" ht="15" customHeight="1">
      <c r="A2" s="108" t="s">
        <v>24</v>
      </c>
      <c r="B2" s="108" t="s">
        <v>25</v>
      </c>
      <c r="C2" s="109" t="s">
        <v>26</v>
      </c>
      <c r="D2" s="110" t="s">
        <v>27</v>
      </c>
      <c r="E2" s="110"/>
      <c r="F2" s="111" t="s">
        <v>28</v>
      </c>
      <c r="G2" s="111"/>
      <c r="H2" s="111"/>
      <c r="I2" s="111"/>
      <c r="J2" s="81" t="s">
        <v>29</v>
      </c>
      <c r="K2" s="81"/>
    </row>
    <row r="3" ht="15">
      <c r="A3" s="108"/>
      <c r="B3" s="108"/>
      <c r="C3" s="109"/>
      <c r="D3" s="112" t="s">
        <v>30</v>
      </c>
      <c r="E3" s="112"/>
      <c r="F3" s="113" t="s">
        <v>31</v>
      </c>
      <c r="G3" s="113"/>
      <c r="H3" s="80" t="s">
        <v>32</v>
      </c>
      <c r="I3" s="80"/>
      <c r="J3" s="81"/>
      <c r="K3" s="81"/>
    </row>
    <row r="4" ht="15">
      <c r="A4" s="108"/>
      <c r="B4" s="108"/>
      <c r="C4" s="109"/>
      <c r="D4" s="113" t="s">
        <v>33</v>
      </c>
      <c r="E4" s="113" t="s">
        <v>34</v>
      </c>
      <c r="F4" s="113" t="s">
        <v>33</v>
      </c>
      <c r="G4" s="113" t="s">
        <v>34</v>
      </c>
      <c r="H4" s="113" t="s">
        <v>33</v>
      </c>
      <c r="I4" s="80" t="s">
        <v>34</v>
      </c>
      <c r="J4" s="81"/>
      <c r="K4" s="81"/>
    </row>
    <row r="5" ht="15">
      <c r="A5" s="114">
        <v>1</v>
      </c>
      <c r="B5" s="88" t="s">
        <v>35</v>
      </c>
      <c r="C5" s="89" t="s">
        <v>36</v>
      </c>
      <c r="D5" s="88"/>
      <c r="E5" s="88"/>
      <c r="F5" s="88"/>
      <c r="G5" s="88"/>
      <c r="H5" s="88"/>
      <c r="I5" s="88"/>
      <c r="J5" s="88"/>
      <c r="K5" s="88"/>
    </row>
    <row r="6" ht="15">
      <c r="A6" s="91"/>
      <c r="B6" s="92"/>
      <c r="C6" s="92"/>
      <c r="D6" s="92"/>
      <c r="E6" s="92"/>
      <c r="F6" s="92"/>
      <c r="G6" s="92"/>
      <c r="H6" s="92"/>
      <c r="I6" s="92"/>
      <c r="J6" s="92"/>
      <c r="K6" s="92"/>
    </row>
    <row r="7" ht="15">
      <c r="A7" s="87">
        <v>2</v>
      </c>
      <c r="B7" s="94" t="s">
        <v>37</v>
      </c>
      <c r="C7" s="95" t="s">
        <v>36</v>
      </c>
      <c r="D7" s="95"/>
      <c r="E7" s="94"/>
      <c r="F7" s="94"/>
      <c r="G7" s="94"/>
      <c r="H7" s="94"/>
      <c r="I7" s="94"/>
      <c r="J7" s="94"/>
      <c r="K7" s="94"/>
    </row>
    <row r="8" ht="15">
      <c r="A8" s="91"/>
      <c r="B8" s="92"/>
      <c r="C8" s="92"/>
      <c r="D8" s="97"/>
      <c r="E8" s="92"/>
      <c r="F8" s="92"/>
      <c r="G8" s="92"/>
      <c r="H8" s="92"/>
      <c r="I8" s="92"/>
      <c r="J8" s="92"/>
      <c r="K8" s="92"/>
    </row>
    <row r="9" ht="15">
      <c r="A9" s="87">
        <v>3</v>
      </c>
      <c r="B9" s="94" t="s">
        <v>38</v>
      </c>
      <c r="C9" s="89" t="s">
        <v>36</v>
      </c>
      <c r="D9" s="95"/>
      <c r="E9" s="94"/>
      <c r="F9" s="94"/>
      <c r="G9" s="94"/>
      <c r="H9" s="94"/>
      <c r="I9" s="94"/>
      <c r="J9" s="94"/>
      <c r="K9" s="94"/>
    </row>
    <row r="10" ht="15">
      <c r="A10" s="91"/>
      <c r="B10" s="92"/>
      <c r="C10" s="92"/>
      <c r="D10" s="97"/>
      <c r="E10" s="92"/>
      <c r="F10" s="92"/>
      <c r="G10" s="92"/>
      <c r="H10" s="92"/>
      <c r="I10" s="92"/>
      <c r="J10" s="92"/>
      <c r="K10" s="92"/>
    </row>
    <row r="11" ht="15">
      <c r="A11" s="87">
        <v>4</v>
      </c>
      <c r="B11" s="94" t="s">
        <v>39</v>
      </c>
      <c r="C11" s="95" t="s">
        <v>36</v>
      </c>
      <c r="D11" s="95"/>
      <c r="E11" s="94"/>
      <c r="F11" s="94"/>
      <c r="G11" s="94"/>
      <c r="H11" s="94"/>
      <c r="I11" s="94"/>
      <c r="J11" s="94"/>
      <c r="K11" s="94"/>
    </row>
    <row r="12" ht="15">
      <c r="A12" s="91"/>
      <c r="B12" s="92"/>
      <c r="C12" s="92"/>
      <c r="D12" s="97"/>
      <c r="E12" s="92"/>
      <c r="F12" s="92"/>
      <c r="G12" s="92"/>
      <c r="H12" s="92"/>
      <c r="I12" s="92"/>
      <c r="J12" s="92"/>
      <c r="K12" s="92"/>
    </row>
    <row r="13" ht="15">
      <c r="A13" s="87">
        <v>5</v>
      </c>
      <c r="B13" s="94" t="s">
        <v>40</v>
      </c>
      <c r="C13" s="89" t="s">
        <v>36</v>
      </c>
      <c r="D13" s="95"/>
      <c r="E13" s="94"/>
      <c r="F13" s="94"/>
      <c r="G13" s="94"/>
      <c r="H13" s="94"/>
      <c r="I13" s="94"/>
      <c r="J13" s="94"/>
      <c r="K13" s="94"/>
    </row>
    <row r="14" ht="15">
      <c r="A14" s="91"/>
      <c r="B14" s="92"/>
      <c r="C14" s="92"/>
      <c r="D14" s="97"/>
      <c r="E14" s="92"/>
      <c r="F14" s="92"/>
      <c r="G14" s="92"/>
      <c r="H14" s="92"/>
      <c r="I14" s="92"/>
      <c r="J14" s="92"/>
      <c r="K14" s="92"/>
    </row>
    <row r="15" ht="15">
      <c r="A15" s="87">
        <v>6</v>
      </c>
      <c r="B15" s="94" t="s">
        <v>41</v>
      </c>
      <c r="C15" s="95" t="s">
        <v>36</v>
      </c>
      <c r="D15" s="95"/>
      <c r="E15" s="94"/>
      <c r="F15" s="94"/>
      <c r="G15" s="94"/>
      <c r="H15" s="94"/>
      <c r="I15" s="94"/>
      <c r="J15" s="94"/>
      <c r="K15" s="94"/>
    </row>
    <row r="16" ht="15">
      <c r="A16" s="91"/>
      <c r="B16" s="92"/>
      <c r="C16" s="92"/>
      <c r="D16" s="97"/>
      <c r="E16" s="92"/>
      <c r="F16" s="92"/>
      <c r="G16" s="92"/>
      <c r="H16" s="92"/>
      <c r="I16" s="92"/>
      <c r="J16" s="92"/>
      <c r="K16" s="92"/>
    </row>
    <row r="17" ht="15">
      <c r="A17" s="87">
        <v>7</v>
      </c>
      <c r="B17" s="94" t="s">
        <v>42</v>
      </c>
      <c r="C17" s="89" t="s">
        <v>36</v>
      </c>
      <c r="D17" s="95"/>
      <c r="E17" s="94"/>
      <c r="F17" s="94"/>
      <c r="G17" s="94"/>
      <c r="H17" s="94"/>
      <c r="I17" s="94"/>
      <c r="J17" s="94"/>
      <c r="K17" s="94"/>
    </row>
    <row r="18" ht="15">
      <c r="A18" s="91"/>
      <c r="B18" s="92"/>
      <c r="C18" s="92"/>
      <c r="D18" s="97"/>
      <c r="E18" s="92"/>
      <c r="F18" s="92"/>
      <c r="G18" s="92"/>
      <c r="H18" s="92"/>
      <c r="I18" s="92"/>
      <c r="J18" s="92"/>
      <c r="K18" s="92"/>
    </row>
    <row r="19" ht="15">
      <c r="A19" s="87">
        <v>8</v>
      </c>
      <c r="B19" s="94" t="s">
        <v>43</v>
      </c>
      <c r="C19" s="95" t="s">
        <v>36</v>
      </c>
      <c r="D19" s="95"/>
      <c r="E19" s="94"/>
      <c r="F19" s="94"/>
      <c r="G19" s="94"/>
      <c r="H19" s="94"/>
      <c r="I19" s="94"/>
      <c r="J19" s="94"/>
      <c r="K19" s="94"/>
    </row>
    <row r="20" ht="15">
      <c r="A20" s="91"/>
      <c r="B20" s="92"/>
      <c r="C20" s="92"/>
      <c r="D20" s="97"/>
      <c r="E20" s="92"/>
      <c r="F20" s="92"/>
      <c r="G20" s="92"/>
      <c r="H20" s="92"/>
      <c r="I20" s="92"/>
      <c r="J20" s="92"/>
      <c r="K20" s="92"/>
    </row>
    <row r="21" ht="15">
      <c r="A21" s="87">
        <v>9</v>
      </c>
      <c r="B21" s="94" t="s">
        <v>44</v>
      </c>
      <c r="C21" s="89" t="s">
        <v>36</v>
      </c>
      <c r="D21" s="95"/>
      <c r="E21" s="94"/>
      <c r="F21" s="94"/>
      <c r="G21" s="94"/>
      <c r="H21" s="94"/>
      <c r="I21" s="94"/>
      <c r="J21" s="94"/>
      <c r="K21" s="94"/>
    </row>
    <row r="22" ht="15">
      <c r="A22" s="91"/>
      <c r="B22" s="92"/>
      <c r="C22" s="92"/>
      <c r="D22" s="97"/>
      <c r="E22" s="92"/>
      <c r="F22" s="92"/>
      <c r="G22" s="92"/>
      <c r="H22" s="92"/>
      <c r="I22" s="92"/>
      <c r="J22" s="92"/>
      <c r="K22" s="92"/>
    </row>
    <row r="23" ht="15">
      <c r="A23" s="87">
        <v>10</v>
      </c>
      <c r="B23" s="94" t="s">
        <v>45</v>
      </c>
      <c r="C23" s="95" t="s">
        <v>36</v>
      </c>
      <c r="D23" s="95"/>
      <c r="E23" s="94"/>
      <c r="F23" s="94"/>
      <c r="G23" s="94"/>
      <c r="H23" s="94"/>
      <c r="I23" s="94"/>
      <c r="J23" s="94"/>
      <c r="K23" s="94"/>
    </row>
    <row r="24" ht="15">
      <c r="A24" s="91"/>
      <c r="B24" s="92"/>
      <c r="C24" s="92"/>
      <c r="D24" s="97"/>
      <c r="E24" s="92"/>
      <c r="F24" s="92"/>
      <c r="G24" s="92"/>
      <c r="H24" s="92"/>
      <c r="I24" s="92"/>
      <c r="J24" s="92"/>
      <c r="K24" s="92"/>
    </row>
    <row r="25" ht="15">
      <c r="A25" s="87">
        <v>11</v>
      </c>
      <c r="B25" s="94" t="s">
        <v>46</v>
      </c>
      <c r="C25" s="89" t="s">
        <v>36</v>
      </c>
      <c r="D25" s="95"/>
      <c r="E25" s="94"/>
      <c r="F25" s="94"/>
      <c r="G25" s="94"/>
      <c r="H25" s="94"/>
      <c r="I25" s="94"/>
      <c r="J25" s="94"/>
      <c r="K25" s="94"/>
    </row>
    <row r="26" ht="15">
      <c r="A26" s="91"/>
      <c r="B26" s="92"/>
      <c r="C26" s="92"/>
      <c r="D26" s="97"/>
      <c r="E26" s="92"/>
      <c r="F26" s="92"/>
      <c r="G26" s="92"/>
      <c r="H26" s="92"/>
      <c r="I26" s="98">
        <f>H26*1.242</f>
        <v>0</v>
      </c>
      <c r="J26" s="92"/>
      <c r="K26" s="92"/>
    </row>
    <row r="27" ht="15">
      <c r="A27" s="87">
        <v>12</v>
      </c>
      <c r="B27" s="94" t="s">
        <v>47</v>
      </c>
      <c r="C27" s="95" t="s">
        <v>36</v>
      </c>
      <c r="D27" s="99"/>
      <c r="E27" s="100">
        <f>D27*1.242</f>
        <v>0</v>
      </c>
      <c r="F27" s="94"/>
      <c r="G27" s="94"/>
      <c r="H27" s="94"/>
      <c r="I27" s="94"/>
      <c r="J27" s="94"/>
      <c r="K27" s="94"/>
    </row>
    <row r="28" ht="15">
      <c r="A28" s="91"/>
      <c r="B28" s="92"/>
      <c r="C28" s="92"/>
      <c r="D28" s="97"/>
      <c r="E28" s="92"/>
      <c r="F28" s="92"/>
      <c r="G28" s="98">
        <f>F28*1.242</f>
        <v>0</v>
      </c>
      <c r="H28" s="92">
        <f>H26+F28</f>
        <v>0</v>
      </c>
      <c r="I28" s="98">
        <f>H28*1.242</f>
        <v>0</v>
      </c>
      <c r="J28" s="92"/>
      <c r="K28" s="92"/>
    </row>
    <row r="29" ht="15">
      <c r="A29" s="87">
        <v>13</v>
      </c>
      <c r="B29" s="94" t="s">
        <v>48</v>
      </c>
      <c r="C29" s="89" t="s">
        <v>36</v>
      </c>
      <c r="D29" s="99"/>
      <c r="E29" s="100">
        <f>D29*1.242</f>
        <v>0</v>
      </c>
      <c r="F29" s="94"/>
      <c r="G29" s="94"/>
      <c r="H29" s="94"/>
      <c r="I29" s="94"/>
      <c r="J29" s="94"/>
      <c r="K29" s="94"/>
    </row>
    <row r="30" ht="15">
      <c r="A30" s="91"/>
      <c r="B30" s="92"/>
      <c r="C30" s="92"/>
      <c r="D30" s="101"/>
      <c r="E30" s="92"/>
      <c r="F30" s="92"/>
      <c r="G30" s="98">
        <f>F30*1.242</f>
        <v>0</v>
      </c>
      <c r="H30" s="92">
        <f>H28+F30</f>
        <v>0</v>
      </c>
      <c r="I30" s="98">
        <f>H30*1.242</f>
        <v>0</v>
      </c>
      <c r="J30" s="92"/>
      <c r="K30" s="92"/>
    </row>
    <row r="31" ht="15">
      <c r="A31" s="87">
        <v>14</v>
      </c>
      <c r="B31" s="94" t="s">
        <v>49</v>
      </c>
      <c r="C31" s="95" t="s">
        <v>36</v>
      </c>
      <c r="D31" s="99"/>
      <c r="E31" s="100">
        <f>D31*1.242</f>
        <v>0</v>
      </c>
      <c r="F31" s="94"/>
      <c r="G31" s="94"/>
      <c r="H31" s="94"/>
      <c r="I31" s="94"/>
      <c r="J31" s="94"/>
      <c r="K31" s="94"/>
    </row>
    <row r="32" ht="15">
      <c r="A32" s="91"/>
      <c r="B32" s="92"/>
      <c r="C32" s="92"/>
      <c r="D32" s="101"/>
      <c r="E32" s="92"/>
      <c r="F32" s="92"/>
      <c r="G32" s="98">
        <f>F32*1.242</f>
        <v>0</v>
      </c>
      <c r="H32" s="92">
        <f>H30+F32</f>
        <v>0</v>
      </c>
      <c r="I32" s="98">
        <f>H32*1.242</f>
        <v>0</v>
      </c>
      <c r="J32" s="92"/>
      <c r="K32" s="92"/>
    </row>
    <row r="33" ht="15">
      <c r="A33" s="87">
        <v>15</v>
      </c>
      <c r="B33" s="94" t="s">
        <v>50</v>
      </c>
      <c r="C33" s="89" t="s">
        <v>36</v>
      </c>
      <c r="D33" s="99"/>
      <c r="E33" s="100">
        <f>D33*1.242</f>
        <v>0</v>
      </c>
      <c r="F33" s="94"/>
      <c r="G33" s="94"/>
      <c r="H33" s="94"/>
      <c r="I33" s="94"/>
      <c r="J33" s="94"/>
      <c r="K33" s="94"/>
    </row>
    <row r="34" ht="15">
      <c r="A34" s="91"/>
      <c r="B34" s="92"/>
      <c r="C34" s="92"/>
      <c r="D34" s="101"/>
      <c r="E34" s="92"/>
      <c r="F34" s="92"/>
      <c r="G34" s="98">
        <f>F34*1.242</f>
        <v>0</v>
      </c>
      <c r="H34" s="92">
        <f>H32+F34</f>
        <v>0</v>
      </c>
      <c r="I34" s="98">
        <f>H34*1.242</f>
        <v>0</v>
      </c>
      <c r="J34" s="92"/>
      <c r="K34" s="92"/>
    </row>
    <row r="35" ht="15">
      <c r="A35" s="87">
        <v>16</v>
      </c>
      <c r="B35" s="94" t="s">
        <v>51</v>
      </c>
      <c r="C35" s="95" t="s">
        <v>36</v>
      </c>
      <c r="D35" s="99"/>
      <c r="E35" s="100">
        <f>D35*1.242</f>
        <v>0</v>
      </c>
      <c r="F35" s="94"/>
      <c r="G35" s="94"/>
      <c r="H35" s="94"/>
      <c r="I35" s="94"/>
      <c r="J35" s="94"/>
      <c r="K35" s="94"/>
    </row>
    <row r="36" ht="15">
      <c r="A36" s="91"/>
      <c r="B36" s="92"/>
      <c r="C36" s="92"/>
      <c r="D36" s="101"/>
      <c r="E36" s="92"/>
      <c r="F36" s="103">
        <v>5.9199999999999999</v>
      </c>
      <c r="G36" s="102">
        <f>F36*1.242</f>
        <v>7.3526400000000001</v>
      </c>
      <c r="H36" s="103">
        <v>88.599999999999994</v>
      </c>
      <c r="I36" s="102">
        <f>H36*1.242</f>
        <v>110.0412</v>
      </c>
      <c r="J36" s="92"/>
      <c r="K36" s="92"/>
    </row>
    <row r="37" ht="15">
      <c r="A37" s="87">
        <v>17</v>
      </c>
      <c r="B37" s="94" t="s">
        <v>52</v>
      </c>
      <c r="C37" s="89" t="s">
        <v>36</v>
      </c>
      <c r="D37" s="104">
        <v>68.569999999999993</v>
      </c>
      <c r="E37" s="105">
        <f>D37*1.242</f>
        <v>85.163939999999997</v>
      </c>
      <c r="F37" s="94"/>
      <c r="G37" s="94"/>
      <c r="H37" s="94"/>
      <c r="I37" s="94"/>
      <c r="J37" s="94"/>
      <c r="K37" s="94"/>
      <c r="L37" s="8" t="s">
        <v>53</v>
      </c>
    </row>
    <row r="38" ht="15">
      <c r="A38" s="91"/>
      <c r="B38" s="92"/>
      <c r="C38" s="92"/>
      <c r="D38" s="101"/>
      <c r="E38" s="92"/>
      <c r="F38" s="103">
        <v>6.0599999999999996</v>
      </c>
      <c r="G38" s="102">
        <f>F38*1.242</f>
        <v>7.5265199999999997</v>
      </c>
      <c r="H38" s="103">
        <f>H36+F38</f>
        <v>94.659999999999997</v>
      </c>
      <c r="I38" s="102">
        <f>H38*1.242</f>
        <v>117.56771999999999</v>
      </c>
      <c r="J38" s="92"/>
      <c r="K38" s="92"/>
    </row>
    <row r="39" ht="15">
      <c r="A39" s="87">
        <v>18</v>
      </c>
      <c r="B39" s="94" t="s">
        <v>54</v>
      </c>
      <c r="C39" s="95" t="s">
        <v>36</v>
      </c>
      <c r="D39" s="104">
        <v>62.509999999999998</v>
      </c>
      <c r="E39" s="105">
        <v>77.640000000000001</v>
      </c>
      <c r="F39" s="94"/>
      <c r="G39" s="94"/>
      <c r="H39" s="94"/>
      <c r="I39" s="94"/>
      <c r="J39" s="94"/>
      <c r="K39" s="94"/>
      <c r="L39" s="8" t="s">
        <v>55</v>
      </c>
    </row>
    <row r="40" ht="15">
      <c r="A40" s="91"/>
      <c r="B40" s="92"/>
      <c r="C40" s="92"/>
      <c r="D40" s="101"/>
      <c r="E40" s="92"/>
      <c r="F40" s="103">
        <v>6.1600000000000001</v>
      </c>
      <c r="G40" s="102">
        <f>F40*1.242</f>
        <v>7.6507199999999997</v>
      </c>
      <c r="H40" s="92">
        <f>H38+F40</f>
        <v>100.81999999999999</v>
      </c>
      <c r="I40" s="98">
        <f>H40*1.242</f>
        <v>125.21844</v>
      </c>
      <c r="J40" s="92"/>
      <c r="K40" s="92"/>
    </row>
    <row r="41" ht="15">
      <c r="A41" s="87">
        <v>19</v>
      </c>
      <c r="B41" s="94" t="s">
        <v>56</v>
      </c>
      <c r="C41" s="89" t="s">
        <v>36</v>
      </c>
      <c r="D41" s="99">
        <v>56.350000000000001</v>
      </c>
      <c r="E41" s="100">
        <f>D41*1.242</f>
        <v>69.986699999999999</v>
      </c>
      <c r="F41" s="94"/>
      <c r="G41" s="94"/>
      <c r="H41" s="94"/>
      <c r="I41" s="94"/>
      <c r="J41" s="94"/>
      <c r="K41" s="94"/>
      <c r="L41" s="8" t="s">
        <v>57</v>
      </c>
    </row>
    <row r="42" ht="15">
      <c r="A42" s="91"/>
      <c r="B42" s="92"/>
      <c r="C42" s="92"/>
      <c r="D42" s="101"/>
      <c r="E42" s="92"/>
      <c r="F42" s="103">
        <v>5.7599999999999998</v>
      </c>
      <c r="G42" s="102">
        <f>F42*1.242</f>
        <v>7.1539200000000003</v>
      </c>
      <c r="H42" s="92">
        <f>H40+F42</f>
        <v>106.58</v>
      </c>
      <c r="I42" s="98">
        <f>H42*1.242</f>
        <v>132.37235999999999</v>
      </c>
      <c r="J42" s="92"/>
      <c r="K42" s="92"/>
    </row>
    <row r="43" ht="15">
      <c r="A43" s="87">
        <v>20</v>
      </c>
      <c r="B43" s="94" t="s">
        <v>58</v>
      </c>
      <c r="C43" s="95" t="s">
        <v>36</v>
      </c>
      <c r="D43" s="104">
        <v>50.590000000000003</v>
      </c>
      <c r="E43" s="105">
        <f>D43*1.242</f>
        <v>62.83278</v>
      </c>
      <c r="F43" s="94"/>
      <c r="G43" s="94"/>
      <c r="H43" s="94"/>
      <c r="I43" s="94"/>
      <c r="J43" s="94"/>
      <c r="K43" s="94"/>
      <c r="L43" s="8" t="s">
        <v>59</v>
      </c>
    </row>
    <row r="44" ht="15">
      <c r="A44" s="91"/>
      <c r="B44" s="92"/>
      <c r="C44" s="92"/>
      <c r="D44" s="101"/>
      <c r="E44" s="92"/>
      <c r="F44" s="103">
        <v>5.71</v>
      </c>
      <c r="G44" s="102">
        <f>F44*1.242</f>
        <v>7.0918200000000002</v>
      </c>
      <c r="H44" s="92">
        <f>H42+F44</f>
        <v>112.29000000000001</v>
      </c>
      <c r="I44" s="98">
        <f>H44*1.242</f>
        <v>139.46418</v>
      </c>
      <c r="J44" s="92"/>
      <c r="K44" s="92"/>
    </row>
    <row r="45" ht="15">
      <c r="A45" s="87">
        <v>21</v>
      </c>
      <c r="B45" s="94" t="s">
        <v>60</v>
      </c>
      <c r="C45" s="89" t="s">
        <v>36</v>
      </c>
      <c r="D45" s="104">
        <v>44.880000000000003</v>
      </c>
      <c r="E45" s="105">
        <f>D45*1.242</f>
        <v>55.740960000000001</v>
      </c>
      <c r="F45" s="94"/>
      <c r="G45" s="94"/>
      <c r="H45" s="94"/>
      <c r="I45" s="94"/>
      <c r="J45" s="94"/>
      <c r="K45" s="94"/>
      <c r="L45" s="8" t="s">
        <v>53</v>
      </c>
    </row>
    <row r="46" ht="15">
      <c r="A46" s="91"/>
      <c r="B46" s="92"/>
      <c r="C46" s="92"/>
      <c r="D46" s="101"/>
      <c r="E46" s="92"/>
      <c r="F46" s="92">
        <v>5.6699999999999999</v>
      </c>
      <c r="G46" s="98">
        <f>F46*1.242</f>
        <v>7.0421399999999998</v>
      </c>
      <c r="H46" s="92">
        <f>H44+F46</f>
        <v>117.95999999999999</v>
      </c>
      <c r="I46" s="98">
        <f>H46*1.242</f>
        <v>146.50631999999999</v>
      </c>
      <c r="J46" s="92"/>
      <c r="K46" s="92"/>
    </row>
    <row r="47" ht="15">
      <c r="A47" s="87">
        <v>22</v>
      </c>
      <c r="B47" s="94" t="s">
        <v>61</v>
      </c>
      <c r="C47" s="95" t="s">
        <v>36</v>
      </c>
      <c r="D47" s="104">
        <v>39.210000000000001</v>
      </c>
      <c r="E47" s="105">
        <f>D47*1.242</f>
        <v>48.698819999999998</v>
      </c>
      <c r="F47" s="94"/>
      <c r="G47" s="94"/>
      <c r="H47" s="94"/>
      <c r="I47" s="94"/>
      <c r="J47" s="94"/>
      <c r="K47" s="94"/>
      <c r="L47" s="8" t="s">
        <v>55</v>
      </c>
    </row>
    <row r="48" ht="15">
      <c r="A48" s="91"/>
      <c r="B48" s="92"/>
      <c r="C48" s="92"/>
      <c r="D48" s="101"/>
      <c r="E48" s="92"/>
      <c r="F48" s="92">
        <v>5.6200000000000001</v>
      </c>
      <c r="G48" s="98">
        <f>F48*1.242</f>
        <v>6.9800399999999998</v>
      </c>
      <c r="H48" s="92">
        <f>H46+F48</f>
        <v>123.58</v>
      </c>
      <c r="I48" s="98">
        <f>H48*1.242</f>
        <v>153.48635999999999</v>
      </c>
      <c r="J48" s="92"/>
      <c r="K48" s="92"/>
    </row>
    <row r="49" ht="15">
      <c r="A49" s="87">
        <v>23</v>
      </c>
      <c r="B49" s="94" t="s">
        <v>62</v>
      </c>
      <c r="C49" s="89" t="s">
        <v>36</v>
      </c>
      <c r="D49" s="104">
        <v>33.590000000000003</v>
      </c>
      <c r="E49" s="100">
        <f>D49*1.242</f>
        <v>41.718780000000002</v>
      </c>
      <c r="F49" s="94"/>
      <c r="G49" s="94"/>
      <c r="H49" s="94"/>
      <c r="I49" s="94"/>
      <c r="J49" s="94"/>
      <c r="K49" s="94"/>
      <c r="L49" s="8" t="s">
        <v>57</v>
      </c>
    </row>
    <row r="50" ht="15">
      <c r="A50" s="91"/>
      <c r="B50" s="92"/>
      <c r="C50" s="92"/>
      <c r="D50" s="101"/>
      <c r="E50" s="92"/>
      <c r="F50" s="92">
        <v>5.3399999999999999</v>
      </c>
      <c r="G50" s="98">
        <f>F50*1.242</f>
        <v>6.6322799999999997</v>
      </c>
      <c r="H50" s="92">
        <f>H48+F50</f>
        <v>128.91999999999999</v>
      </c>
      <c r="I50" s="98">
        <f>H50*1.242</f>
        <v>160.11864</v>
      </c>
      <c r="J50" s="92"/>
      <c r="K50" s="92"/>
    </row>
    <row r="51" ht="15">
      <c r="A51" s="87">
        <v>24</v>
      </c>
      <c r="B51" s="94" t="s">
        <v>63</v>
      </c>
      <c r="C51" s="95" t="s">
        <v>36</v>
      </c>
      <c r="D51" s="104">
        <v>28.25</v>
      </c>
      <c r="E51" s="100">
        <f>D51*1.242</f>
        <v>35.086500000000001</v>
      </c>
      <c r="F51" s="94"/>
      <c r="G51" s="94"/>
      <c r="H51" s="94"/>
      <c r="I51" s="94"/>
      <c r="J51" s="94"/>
      <c r="K51" s="94"/>
      <c r="L51" s="8" t="s">
        <v>59</v>
      </c>
    </row>
    <row r="52" ht="15">
      <c r="A52" s="91"/>
      <c r="B52" s="92"/>
      <c r="C52" s="92"/>
      <c r="D52" s="101"/>
      <c r="E52" s="92"/>
      <c r="F52" s="92">
        <v>5.46</v>
      </c>
      <c r="G52" s="98">
        <f>F52*1.242</f>
        <v>6.78132</v>
      </c>
      <c r="H52" s="92">
        <f>H50+F52</f>
        <v>134.38</v>
      </c>
      <c r="I52" s="98">
        <f>H52*1.242</f>
        <v>166.89995999999999</v>
      </c>
      <c r="J52" s="92"/>
      <c r="K52" s="92"/>
    </row>
    <row r="53" ht="15">
      <c r="A53" s="87">
        <v>25</v>
      </c>
      <c r="B53" s="94" t="s">
        <v>64</v>
      </c>
      <c r="C53" s="89" t="s">
        <v>36</v>
      </c>
      <c r="D53" s="104">
        <v>22.789999999999999</v>
      </c>
      <c r="E53" s="100">
        <f>D53*1.242</f>
        <v>28.30518</v>
      </c>
      <c r="F53" s="94"/>
      <c r="G53" s="94"/>
      <c r="H53" s="94"/>
      <c r="I53" s="94"/>
      <c r="J53" s="94"/>
      <c r="K53" s="94"/>
      <c r="L53" s="8" t="s">
        <v>53</v>
      </c>
    </row>
    <row r="54" ht="15">
      <c r="A54" s="91"/>
      <c r="B54" s="92"/>
      <c r="C54" s="92"/>
      <c r="D54" s="101"/>
      <c r="E54" s="92"/>
      <c r="F54" s="92">
        <v>5.8200000000000003</v>
      </c>
      <c r="G54" s="98">
        <f>F54*1.242</f>
        <v>7.22844</v>
      </c>
      <c r="H54" s="92">
        <f>H52+F54</f>
        <v>140.19999999999999</v>
      </c>
      <c r="I54" s="98">
        <f>H54*1.242</f>
        <v>174.1284</v>
      </c>
      <c r="J54" s="92"/>
      <c r="K54" s="92"/>
    </row>
    <row r="55" ht="15">
      <c r="A55" s="87">
        <v>26</v>
      </c>
      <c r="B55" s="94" t="s">
        <v>65</v>
      </c>
      <c r="C55" s="95" t="s">
        <v>36</v>
      </c>
      <c r="D55" s="99">
        <v>136.97</v>
      </c>
      <c r="E55" s="100">
        <f>D55*1.242</f>
        <v>170.11673999999999</v>
      </c>
      <c r="F55" s="94"/>
      <c r="G55" s="94"/>
      <c r="H55" s="94"/>
      <c r="I55" s="94"/>
      <c r="J55" s="94" t="s">
        <v>73</v>
      </c>
      <c r="K55" s="94"/>
      <c r="L55" s="8" t="s">
        <v>55</v>
      </c>
    </row>
    <row r="56" ht="15">
      <c r="A56" s="91"/>
      <c r="B56" s="92"/>
      <c r="C56" s="92"/>
      <c r="D56" s="101"/>
      <c r="E56" s="92"/>
      <c r="F56" s="92"/>
      <c r="G56" s="98">
        <f>F56*1.242</f>
        <v>0</v>
      </c>
      <c r="H56" s="92">
        <f>H54+F56</f>
        <v>140.19999999999999</v>
      </c>
      <c r="I56" s="98">
        <f>H56*1.242</f>
        <v>174.1284</v>
      </c>
      <c r="J56" s="92"/>
      <c r="K56" s="92"/>
    </row>
    <row r="57" ht="15">
      <c r="A57" s="87">
        <v>27</v>
      </c>
      <c r="B57" s="94" t="s">
        <v>67</v>
      </c>
      <c r="C57" s="89" t="s">
        <v>36</v>
      </c>
      <c r="D57" s="99"/>
      <c r="E57" s="100">
        <f>D57*1.242</f>
        <v>0</v>
      </c>
      <c r="F57" s="94"/>
      <c r="G57" s="94"/>
      <c r="H57" s="94"/>
      <c r="I57" s="94"/>
      <c r="J57" s="94"/>
      <c r="K57" s="94"/>
    </row>
    <row r="58" ht="15">
      <c r="A58" s="91"/>
      <c r="B58" s="92"/>
      <c r="C58" s="92"/>
      <c r="D58" s="101"/>
      <c r="E58" s="92"/>
      <c r="F58" s="92"/>
      <c r="G58" s="98">
        <f>F58*1.242</f>
        <v>0</v>
      </c>
      <c r="H58" s="92">
        <f>H56+F58</f>
        <v>140.19999999999999</v>
      </c>
      <c r="I58" s="98">
        <f>H58*1.242</f>
        <v>174.1284</v>
      </c>
      <c r="J58" s="92"/>
      <c r="K58" s="92"/>
    </row>
    <row r="59" ht="15">
      <c r="A59" s="87">
        <v>28</v>
      </c>
      <c r="B59" s="94" t="s">
        <v>68</v>
      </c>
      <c r="C59" s="95" t="s">
        <v>36</v>
      </c>
      <c r="D59" s="99"/>
      <c r="E59" s="100">
        <f>D59*1.242</f>
        <v>0</v>
      </c>
      <c r="F59" s="94"/>
      <c r="G59" s="94"/>
      <c r="H59" s="94"/>
      <c r="I59" s="94"/>
      <c r="J59" s="94"/>
      <c r="K59" s="94"/>
    </row>
    <row r="60" ht="15">
      <c r="A60" s="91"/>
      <c r="B60" s="92"/>
      <c r="C60" s="92"/>
      <c r="D60" s="101"/>
      <c r="E60" s="92"/>
      <c r="F60" s="92"/>
      <c r="G60" s="98">
        <f>F60*1.242</f>
        <v>0</v>
      </c>
      <c r="H60" s="92">
        <f>H58+F60</f>
        <v>140.19999999999999</v>
      </c>
      <c r="I60" s="98">
        <f>H60*1.242</f>
        <v>174.1284</v>
      </c>
      <c r="J60" s="92"/>
      <c r="K60" s="92"/>
    </row>
    <row r="61" ht="15">
      <c r="A61" s="87">
        <v>29</v>
      </c>
      <c r="B61" s="94" t="s">
        <v>69</v>
      </c>
      <c r="C61" s="89" t="s">
        <v>36</v>
      </c>
      <c r="D61" s="99"/>
      <c r="E61" s="100">
        <f>D61*1.242</f>
        <v>0</v>
      </c>
      <c r="F61" s="94"/>
      <c r="G61" s="94"/>
      <c r="H61" s="94"/>
      <c r="I61" s="94"/>
      <c r="J61" s="94"/>
      <c r="K61" s="94"/>
    </row>
    <row r="62" ht="15">
      <c r="A62" s="91"/>
      <c r="B62" s="92"/>
      <c r="C62" s="92"/>
      <c r="D62" s="101"/>
      <c r="E62" s="92"/>
      <c r="F62" s="92"/>
      <c r="G62" s="98">
        <f>F62*1.242</f>
        <v>0</v>
      </c>
      <c r="H62" s="92">
        <f>H60+F62</f>
        <v>140.19999999999999</v>
      </c>
      <c r="I62" s="98">
        <f>H62*1.242</f>
        <v>174.1284</v>
      </c>
      <c r="J62" s="92"/>
      <c r="K62" s="92"/>
    </row>
    <row r="63" ht="15">
      <c r="A63" s="87">
        <v>30</v>
      </c>
      <c r="B63" s="94" t="s">
        <v>70</v>
      </c>
      <c r="C63" s="95" t="s">
        <v>36</v>
      </c>
      <c r="D63" s="99"/>
      <c r="E63" s="100">
        <f>D63*1.242</f>
        <v>0</v>
      </c>
      <c r="F63" s="94"/>
      <c r="G63" s="94"/>
      <c r="H63" s="94"/>
      <c r="I63" s="94"/>
      <c r="J63" s="94"/>
      <c r="K63" s="94"/>
    </row>
    <row r="64" ht="15">
      <c r="A64" s="91"/>
      <c r="B64" s="92"/>
      <c r="C64" s="92"/>
      <c r="D64" s="101"/>
      <c r="E64" s="92"/>
      <c r="F64" s="92"/>
      <c r="G64" s="98">
        <f>F64*1.242</f>
        <v>0</v>
      </c>
      <c r="H64" s="92">
        <f>H62+F64</f>
        <v>140.19999999999999</v>
      </c>
      <c r="I64" s="98">
        <f>H64*1.242</f>
        <v>174.1284</v>
      </c>
      <c r="J64" s="92"/>
      <c r="K64" s="92"/>
    </row>
    <row r="65" ht="15">
      <c r="A65" s="87">
        <v>31</v>
      </c>
      <c r="B65" s="94" t="s">
        <v>71</v>
      </c>
      <c r="C65" s="89" t="s">
        <v>36</v>
      </c>
      <c r="D65" s="99"/>
      <c r="E65" s="100">
        <f>D65*1.242</f>
        <v>0</v>
      </c>
      <c r="F65" s="94"/>
      <c r="G65" s="94"/>
      <c r="H65" s="94"/>
      <c r="I65" s="94"/>
      <c r="J65" s="94"/>
      <c r="K65" s="94"/>
    </row>
    <row r="66" ht="15">
      <c r="A66" s="106"/>
      <c r="B66" s="92"/>
      <c r="C66" s="92"/>
      <c r="D66" s="101"/>
      <c r="E66" s="92"/>
      <c r="F66" s="92"/>
      <c r="G66" s="98">
        <f>F66*1.242</f>
        <v>0</v>
      </c>
      <c r="H66" s="92">
        <f>H64+F66</f>
        <v>140.19999999999999</v>
      </c>
      <c r="I66" s="98">
        <f>H66*1.242</f>
        <v>174.1284</v>
      </c>
      <c r="J66" s="92"/>
      <c r="K66" s="92"/>
    </row>
  </sheetData>
  <mergeCells count="10">
    <mergeCell ref="A1:J1"/>
    <mergeCell ref="A2:A4"/>
    <mergeCell ref="B2:B4"/>
    <mergeCell ref="C2:C4"/>
    <mergeCell ref="D2:E2"/>
    <mergeCell ref="F2:I2"/>
    <mergeCell ref="J2:K4"/>
    <mergeCell ref="D3:E3"/>
    <mergeCell ref="F3:G3"/>
    <mergeCell ref="H3:I3"/>
  </mergeCells>
  <printOptions headings="0" gridLines="0" horizontalCentered="0" verticalCentered="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selection activeCell="A5" activeCellId="0" sqref="A5"/>
    </sheetView>
  </sheetViews>
  <sheetFormatPr defaultColWidth="11.53515625" defaultRowHeight="14.25"/>
  <cols>
    <col customWidth="1" min="1" max="3" width="9.140625"/>
  </cols>
  <sheetData>
    <row r="1" ht="13.800000000000001">
      <c r="A1" s="115" t="s">
        <v>74</v>
      </c>
      <c r="B1" s="115" t="s">
        <v>75</v>
      </c>
      <c r="C1" s="116"/>
    </row>
    <row r="2" ht="13.800000000000001">
      <c r="A2" s="115" t="s">
        <v>2</v>
      </c>
      <c r="B2" s="115" t="s">
        <v>76</v>
      </c>
      <c r="C2" s="116"/>
    </row>
    <row r="3" ht="13.800000000000001">
      <c r="A3" s="115" t="s">
        <v>3</v>
      </c>
      <c r="B3" s="115" t="s">
        <v>77</v>
      </c>
      <c r="C3" s="116"/>
    </row>
    <row r="4" ht="14.25">
      <c r="A4" t="s">
        <v>4</v>
      </c>
      <c r="B4" t="s">
        <v>78</v>
      </c>
      <c r="C4" s="116"/>
    </row>
    <row r="5" ht="14.25">
      <c r="A5" t="s">
        <v>5</v>
      </c>
      <c r="B5" t="s">
        <v>79</v>
      </c>
      <c r="C5" s="116"/>
    </row>
    <row r="6" ht="14.25">
      <c r="A6" t="s">
        <v>6</v>
      </c>
      <c r="B6" t="s">
        <v>80</v>
      </c>
      <c r="C6" t="s">
        <v>81</v>
      </c>
    </row>
    <row r="7" ht="14.25">
      <c r="A7" t="s">
        <v>7</v>
      </c>
      <c r="B7" t="s">
        <v>82</v>
      </c>
      <c r="C7" s="116"/>
    </row>
    <row r="8" ht="14.25">
      <c r="A8" t="s">
        <v>8</v>
      </c>
      <c r="B8" t="s">
        <v>83</v>
      </c>
      <c r="C8" s="116"/>
    </row>
    <row r="9" ht="14.25">
      <c r="A9" t="s">
        <v>9</v>
      </c>
      <c r="B9" t="s">
        <v>84</v>
      </c>
      <c r="C9" s="116"/>
    </row>
    <row r="10" ht="14.25">
      <c r="A10" t="s">
        <v>10</v>
      </c>
      <c r="B10" t="s">
        <v>84</v>
      </c>
      <c r="C10" s="116"/>
    </row>
    <row r="11" ht="14.25">
      <c r="A11" t="s">
        <v>11</v>
      </c>
      <c r="B11" t="s">
        <v>85</v>
      </c>
      <c r="C11" s="116"/>
    </row>
  </sheetData>
  <printOptions headings="0" gridLines="0" horizontalCentered="0" verticalCentered="0"/>
  <pageMargins left="0.78750000000000009" right="0.78750000000000009" top="1.05277777777778" bottom="1.05277777777778" header="0.78750000000000009" footer="0.78750000000000009"/>
  <pageSetup paperSize="9" scale="100" fitToWidth="1" fitToHeight="1" pageOrder="downThenOver" orientation="portrait" usePrinterDefaults="1" blackAndWhite="0" draft="0" cellComments="none" useFirstPageNumber="0" errors="displayed" horizontalDpi="300" verticalDpi="300" copies="1"/>
  <headerFooter>
    <oddHeader>&amp;C&amp;"Times New Roman"&amp;12&amp;Kffffff&amp;A</oddHeader>
    <oddFooter>&amp;C&amp;"Times New Roman"&amp;12&amp;KffffffPage &amp;P</oddFooter>
  </headerFooter>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Хуснутдинов Алмаз Азатович</dc:creator>
  <dc:description/>
  <dc:language>ru-RU</dc:language>
  <cp:revision>5</cp:revision>
  <dcterms:created xsi:type="dcterms:W3CDTF">2006-09-16T00:00:00Z</dcterms:created>
  <dcterms:modified xsi:type="dcterms:W3CDTF">2026-09-13T10:48:06Z</dcterms:modified>
</cp:coreProperties>
</file>